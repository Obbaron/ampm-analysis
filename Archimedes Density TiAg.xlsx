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hp460\Documents\Code\ampm-data\"/>
    </mc:Choice>
  </mc:AlternateContent>
  <xr:revisionPtr revIDLastSave="0" documentId="13_ncr:1_{8685282E-057F-47B3-BB2D-B8E35237BBAD}" xr6:coauthVersionLast="47" xr6:coauthVersionMax="47" xr10:uidLastSave="{00000000-0000-0000-0000-000000000000}"/>
  <bookViews>
    <workbookView xWindow="-110" yWindow="-110" windowWidth="19420" windowHeight="12220" activeTab="2" xr2:uid="{29DB1FB1-494D-1A44-8969-5057E69FAAE0}"/>
  </bookViews>
  <sheets>
    <sheet name="Ti-6Ag" sheetId="2" r:id="rId1"/>
    <sheet name="Ti-15Ag" sheetId="3" r:id="rId2"/>
    <sheet name="Ti-25Ag" sheetId="1" r:id="rId3"/>
    <sheet name="Ti-Sterling" sheetId="5" r:id="rId4"/>
    <sheet name="Sheet1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5" l="1"/>
  <c r="E20" i="5"/>
  <c r="F19" i="5"/>
  <c r="E19" i="5"/>
  <c r="F18" i="5"/>
  <c r="F17" i="5"/>
  <c r="E18" i="5"/>
  <c r="E17" i="5"/>
  <c r="F3" i="5"/>
  <c r="E3" i="5"/>
  <c r="D20" i="5"/>
  <c r="D19" i="5"/>
  <c r="D18" i="5"/>
  <c r="D17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E14" i="5"/>
  <c r="D14" i="5"/>
  <c r="E4" i="5"/>
  <c r="D4" i="5"/>
  <c r="D3" i="5"/>
  <c r="E11" i="5"/>
  <c r="D11" i="5"/>
  <c r="E15" i="5"/>
  <c r="D15" i="5"/>
  <c r="F2" i="5"/>
  <c r="E2" i="5"/>
  <c r="D2" i="5"/>
  <c r="E16" i="5"/>
  <c r="D16" i="5"/>
  <c r="E6" i="5"/>
  <c r="D6" i="5"/>
  <c r="E7" i="5"/>
  <c r="D7" i="5"/>
  <c r="E8" i="5"/>
  <c r="D8" i="5"/>
  <c r="E12" i="5"/>
  <c r="D12" i="5"/>
  <c r="E5" i="5"/>
  <c r="D5" i="5"/>
  <c r="E9" i="5"/>
  <c r="D9" i="5"/>
  <c r="E13" i="5"/>
  <c r="D13" i="5"/>
  <c r="E10" i="5"/>
  <c r="D10" i="5"/>
  <c r="F17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2" i="3"/>
  <c r="D2" i="2"/>
  <c r="D3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2" i="3"/>
  <c r="D8" i="1"/>
  <c r="F7" i="1"/>
  <c r="F10" i="1"/>
  <c r="F15" i="1"/>
  <c r="F3" i="1"/>
  <c r="F14" i="1"/>
  <c r="F16" i="1"/>
  <c r="F11" i="1"/>
  <c r="F2" i="1"/>
  <c r="F5" i="1"/>
  <c r="F4" i="1"/>
  <c r="F9" i="1"/>
  <c r="F6" i="1"/>
  <c r="F13" i="1"/>
  <c r="F12" i="1"/>
  <c r="F8" i="1"/>
  <c r="E7" i="1"/>
  <c r="E10" i="1"/>
  <c r="E15" i="1"/>
  <c r="E3" i="1"/>
  <c r="E14" i="1"/>
  <c r="E16" i="1"/>
  <c r="E11" i="1"/>
  <c r="E2" i="1"/>
  <c r="E5" i="1"/>
  <c r="E4" i="1"/>
  <c r="E9" i="1"/>
  <c r="E6" i="1"/>
  <c r="E13" i="1"/>
  <c r="E12" i="1"/>
  <c r="E8" i="1"/>
  <c r="F10" i="2"/>
  <c r="E10" i="2"/>
  <c r="D10" i="2"/>
  <c r="F12" i="2"/>
  <c r="E12" i="2"/>
  <c r="D12" i="2"/>
  <c r="F16" i="2"/>
  <c r="E16" i="2"/>
  <c r="D16" i="2"/>
  <c r="F3" i="2"/>
  <c r="E3" i="2"/>
  <c r="F6" i="2"/>
  <c r="E6" i="2"/>
  <c r="D6" i="2"/>
  <c r="F13" i="2"/>
  <c r="E13" i="2"/>
  <c r="D13" i="2"/>
  <c r="F2" i="2"/>
  <c r="E2" i="2"/>
  <c r="F4" i="2"/>
  <c r="E4" i="2"/>
  <c r="D4" i="2"/>
  <c r="F7" i="2"/>
  <c r="E7" i="2"/>
  <c r="D7" i="2"/>
  <c r="F8" i="2"/>
  <c r="E8" i="2"/>
  <c r="D8" i="2"/>
  <c r="F9" i="2"/>
  <c r="E9" i="2"/>
  <c r="D9" i="2"/>
  <c r="F5" i="2"/>
  <c r="E5" i="2"/>
  <c r="D5" i="2"/>
  <c r="F15" i="2"/>
  <c r="E15" i="2"/>
  <c r="D15" i="2"/>
  <c r="F14" i="2"/>
  <c r="E14" i="2"/>
  <c r="D14" i="2"/>
  <c r="F11" i="2"/>
  <c r="E11" i="2"/>
  <c r="D11" i="2"/>
  <c r="D12" i="1"/>
  <c r="D13" i="1"/>
  <c r="D6" i="1"/>
  <c r="D9" i="1"/>
  <c r="D4" i="1"/>
  <c r="D5" i="1"/>
  <c r="D2" i="1"/>
  <c r="D11" i="1"/>
  <c r="D16" i="1"/>
  <c r="D14" i="1"/>
  <c r="D3" i="1"/>
  <c r="D15" i="1"/>
  <c r="D10" i="1"/>
  <c r="D7" i="1"/>
</calcChain>
</file>

<file path=xl/sharedStrings.xml><?xml version="1.0" encoding="utf-8"?>
<sst xmlns="http://schemas.openxmlformats.org/spreadsheetml/2006/main" count="58" uniqueCount="26">
  <si>
    <t>Energy Density (J/m)</t>
  </si>
  <si>
    <t>Speed (mm/s)</t>
  </si>
  <si>
    <t>Power (W)</t>
  </si>
  <si>
    <t>Density AVG (g/cm^3)</t>
  </si>
  <si>
    <t>Density (1)</t>
  </si>
  <si>
    <t>Density (2)</t>
  </si>
  <si>
    <t>Density (3)</t>
  </si>
  <si>
    <t>σ</t>
  </si>
  <si>
    <t>Density (4)</t>
  </si>
  <si>
    <t>Density (5)</t>
  </si>
  <si>
    <t>Density (6)</t>
  </si>
  <si>
    <t>Cube ID</t>
  </si>
  <si>
    <t>EDX Quant (wt% Ag)</t>
  </si>
  <si>
    <t>Density 1</t>
  </si>
  <si>
    <t>Density 2</t>
  </si>
  <si>
    <t>Density 3</t>
  </si>
  <si>
    <t>1+</t>
  </si>
  <si>
    <t>2+</t>
  </si>
  <si>
    <t>3+</t>
  </si>
  <si>
    <t>4+</t>
  </si>
  <si>
    <t>5+</t>
  </si>
  <si>
    <t>6+</t>
  </si>
  <si>
    <t>7+</t>
  </si>
  <si>
    <t>8+</t>
  </si>
  <si>
    <t>Column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</si>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</sst>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2" fontId="0" fillId="0" borderId="0" xfId="0" applyNumberFormat="1"/>
    <xf numFmtId="2" fontId="2" fillId="0" borderId="0" xfId="0" applyNumberFormat="1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65" fontId="3" fillId="0" borderId="0" xfId="0" applyNumberFormat="1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JR222 - Ti-6Ag (wt%) Archimedes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'Ti-6Ag'!$F$2:$F$16</c:f>
                <c:numCache>
                  <c:formatCode>General</c:formatCode>
                  <c:ptCount val="15"/>
                  <c:pt idx="0">
                    <c:v>2.1408954512851189E-2</c:v>
                  </c:pt>
                  <c:pt idx="1">
                    <c:v>1.2016793804228036E-2</c:v>
                  </c:pt>
                  <c:pt idx="2">
                    <c:v>5.7735026918930574E-4</c:v>
                  </c:pt>
                  <c:pt idx="3">
                    <c:v>1.1852847759082959E-2</c:v>
                  </c:pt>
                  <c:pt idx="4">
                    <c:v>5.4286278192559236E-3</c:v>
                  </c:pt>
                  <c:pt idx="5">
                    <c:v>7.1395611443097595E-3</c:v>
                  </c:pt>
                  <c:pt idx="6">
                    <c:v>9.5049110113312896E-3</c:v>
                  </c:pt>
                  <c:pt idx="7">
                    <c:v>1.4645590917860739E-2</c:v>
                  </c:pt>
                  <c:pt idx="8">
                    <c:v>1.6289055630489817E-3</c:v>
                  </c:pt>
                  <c:pt idx="9">
                    <c:v>7.6159919467744964E-3</c:v>
                  </c:pt>
                  <c:pt idx="10">
                    <c:v>2.9715315916205246E-3</c:v>
                  </c:pt>
                  <c:pt idx="11">
                    <c:v>1.6400101625701297E-2</c:v>
                  </c:pt>
                  <c:pt idx="12">
                    <c:v>2.0636860226303805E-2</c:v>
                  </c:pt>
                  <c:pt idx="13">
                    <c:v>1.6657230662187814E-2</c:v>
                  </c:pt>
                  <c:pt idx="14">
                    <c:v>2.1862372545845308E-2</c:v>
                  </c:pt>
                </c:numCache>
              </c:numRef>
            </c:plus>
            <c:minus>
              <c:numRef>
                <c:f>'Ti-6Ag'!$F$2:$F$16</c:f>
                <c:numCache>
                  <c:formatCode>General</c:formatCode>
                  <c:ptCount val="15"/>
                  <c:pt idx="0">
                    <c:v>2.1408954512851189E-2</c:v>
                  </c:pt>
                  <c:pt idx="1">
                    <c:v>1.2016793804228036E-2</c:v>
                  </c:pt>
                  <c:pt idx="2">
                    <c:v>5.7735026918930574E-4</c:v>
                  </c:pt>
                  <c:pt idx="3">
                    <c:v>1.1852847759082959E-2</c:v>
                  </c:pt>
                  <c:pt idx="4">
                    <c:v>5.4286278192559236E-3</c:v>
                  </c:pt>
                  <c:pt idx="5">
                    <c:v>7.1395611443097595E-3</c:v>
                  </c:pt>
                  <c:pt idx="6">
                    <c:v>9.5049110113312896E-3</c:v>
                  </c:pt>
                  <c:pt idx="7">
                    <c:v>1.4645590917860739E-2</c:v>
                  </c:pt>
                  <c:pt idx="8">
                    <c:v>1.6289055630489817E-3</c:v>
                  </c:pt>
                  <c:pt idx="9">
                    <c:v>7.6159919467744964E-3</c:v>
                  </c:pt>
                  <c:pt idx="10">
                    <c:v>2.9715315916205246E-3</c:v>
                  </c:pt>
                  <c:pt idx="11">
                    <c:v>1.6400101625701297E-2</c:v>
                  </c:pt>
                  <c:pt idx="12">
                    <c:v>2.0636860226303805E-2</c:v>
                  </c:pt>
                  <c:pt idx="13">
                    <c:v>1.6657230662187814E-2</c:v>
                  </c:pt>
                  <c:pt idx="14">
                    <c:v>2.1862372545845308E-2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'Ti-6Ag'!$D$2:$D$16</c:f>
              <c:numCache>
                <c:formatCode>General</c:formatCode>
                <c:ptCount val="15"/>
                <c:pt idx="0">
                  <c:v>133.33333333333334</c:v>
                </c:pt>
                <c:pt idx="1">
                  <c:v>100</c:v>
                </c:pt>
                <c:pt idx="2">
                  <c:v>116.66666666666667</c:v>
                </c:pt>
                <c:pt idx="3">
                  <c:v>150</c:v>
                </c:pt>
                <c:pt idx="4">
                  <c:v>87.5</c:v>
                </c:pt>
                <c:pt idx="5">
                  <c:v>100</c:v>
                </c:pt>
                <c:pt idx="6">
                  <c:v>200</c:v>
                </c:pt>
                <c:pt idx="7">
                  <c:v>175</c:v>
                </c:pt>
                <c:pt idx="8">
                  <c:v>80</c:v>
                </c:pt>
                <c:pt idx="9">
                  <c:v>300</c:v>
                </c:pt>
                <c:pt idx="10">
                  <c:v>70</c:v>
                </c:pt>
                <c:pt idx="11">
                  <c:v>75</c:v>
                </c:pt>
                <c:pt idx="12">
                  <c:v>350</c:v>
                </c:pt>
                <c:pt idx="13">
                  <c:v>400</c:v>
                </c:pt>
                <c:pt idx="14">
                  <c:v>60</c:v>
                </c:pt>
              </c:numCache>
            </c:numRef>
          </c:xVal>
          <c:yVal>
            <c:numRef>
              <c:f>'Ti-6Ag'!$E$2:$E$16</c:f>
              <c:numCache>
                <c:formatCode>0.0000</c:formatCode>
                <c:ptCount val="15"/>
                <c:pt idx="0">
                  <c:v>4.5507666666666671</c:v>
                </c:pt>
                <c:pt idx="1">
                  <c:v>4.5501333333333331</c:v>
                </c:pt>
                <c:pt idx="2">
                  <c:v>4.5444333333333331</c:v>
                </c:pt>
                <c:pt idx="3">
                  <c:v>4.5425000000000004</c:v>
                </c:pt>
                <c:pt idx="4">
                  <c:v>4.5411000000000001</c:v>
                </c:pt>
                <c:pt idx="5">
                  <c:v>4.5376666666666665</c:v>
                </c:pt>
                <c:pt idx="6">
                  <c:v>4.5255333333333327</c:v>
                </c:pt>
                <c:pt idx="7">
                  <c:v>4.5234666666666667</c:v>
                </c:pt>
                <c:pt idx="8">
                  <c:v>4.5085666666666668</c:v>
                </c:pt>
                <c:pt idx="9">
                  <c:v>4.4891666666666667</c:v>
                </c:pt>
                <c:pt idx="10">
                  <c:v>4.4682000000000004</c:v>
                </c:pt>
                <c:pt idx="11">
                  <c:v>4.4626333333333328</c:v>
                </c:pt>
                <c:pt idx="12">
                  <c:v>4.4379999999999997</c:v>
                </c:pt>
                <c:pt idx="13">
                  <c:v>4.4131333333333336</c:v>
                </c:pt>
                <c:pt idx="14">
                  <c:v>4.3520666666666665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6-4B4F-BAD0-09AAA97E0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530304"/>
        <c:axId val="2081532032"/>
      </c:scatterChart>
      <c:valAx>
        <c:axId val="208153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Energy</a:t>
                </a:r>
                <a:r>
                  <a:rPr lang="en-GB" sz="1200" baseline="0"/>
                  <a:t> Density (J/m)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32032"/>
        <c:crosses val="autoZero"/>
        <c:crossBetween val="midCat"/>
      </c:valAx>
      <c:valAx>
        <c:axId val="2081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Density</a:t>
                </a:r>
                <a:r>
                  <a:rPr lang="en-GB" sz="1200" baseline="0"/>
                  <a:t> (g/cm^3)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3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'Ti-15Ag'!$F$2:$F$5</c:f>
              <c:numCache>
                <c:formatCode>General</c:formatCode>
                <c:ptCount val="4"/>
                <c:pt idx="0">
                  <c:v>150</c:v>
                </c:pt>
                <c:pt idx="1">
                  <c:v>100</c:v>
                </c:pt>
                <c:pt idx="2">
                  <c:v>133.33333333333334</c:v>
                </c:pt>
                <c:pt idx="3">
                  <c:v>100</c:v>
                </c:pt>
              </c:numCache>
            </c:numRef>
          </c:xVal>
          <c:yVal>
            <c:numRef>
              <c:f>'Ti-15Ag'!$J$2:$J$5</c:f>
              <c:numCache>
                <c:formatCode>0.0000</c:formatCode>
                <c:ptCount val="4"/>
                <c:pt idx="0">
                  <c:v>4.672533333333333</c:v>
                </c:pt>
                <c:pt idx="1">
                  <c:v>4.7314000000000007</c:v>
                </c:pt>
                <c:pt idx="2">
                  <c:v>4.6654666666666662</c:v>
                </c:pt>
                <c:pt idx="3">
                  <c:v>4.6741666666666664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A3-F14A-9F81-6D4F06F5FECF}"/>
            </c:ext>
          </c:extLst>
        </c:ser>
        <c:ser>
          <c:idx val="1"/>
          <c:order val="1"/>
          <c:tx>
            <c:v>Column2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'Ti-15Ag'!$F$6:$F$9</c:f>
              <c:numCache>
                <c:formatCode>General</c:formatCode>
                <c:ptCount val="4"/>
                <c:pt idx="0">
                  <c:v>150</c:v>
                </c:pt>
                <c:pt idx="1">
                  <c:v>100</c:v>
                </c:pt>
                <c:pt idx="2">
                  <c:v>133.33333333333334</c:v>
                </c:pt>
                <c:pt idx="3">
                  <c:v>100</c:v>
                </c:pt>
              </c:numCache>
            </c:numRef>
          </c:xVal>
          <c:yVal>
            <c:numRef>
              <c:f>'Ti-15Ag'!$J$6:$J$9</c:f>
              <c:numCache>
                <c:formatCode>0.0000</c:formatCode>
                <c:ptCount val="4"/>
                <c:pt idx="0">
                  <c:v>4.6442333333333332</c:v>
                </c:pt>
                <c:pt idx="1">
                  <c:v>4.706833333333333</c:v>
                </c:pt>
                <c:pt idx="2">
                  <c:v>4.6490666666666662</c:v>
                </c:pt>
                <c:pt idx="3">
                  <c:v>4.6601666666666661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A3-F14A-9F81-6D4F06F5FECF}"/>
            </c:ext>
          </c:extLst>
        </c:ser>
        <c:ser>
          <c:idx val="2"/>
          <c:order val="2"/>
          <c:tx>
            <c:v>Column3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'Ti-15Ag'!$F$10:$F$13</c:f>
              <c:numCache>
                <c:formatCode>General</c:formatCode>
                <c:ptCount val="4"/>
                <c:pt idx="0">
                  <c:v>150</c:v>
                </c:pt>
                <c:pt idx="1">
                  <c:v>100</c:v>
                </c:pt>
                <c:pt idx="2">
                  <c:v>133.33333333333334</c:v>
                </c:pt>
                <c:pt idx="3">
                  <c:v>100</c:v>
                </c:pt>
              </c:numCache>
            </c:numRef>
          </c:xVal>
          <c:yVal>
            <c:numRef>
              <c:f>'Ti-15Ag'!$J$10:$J$13</c:f>
              <c:numCache>
                <c:formatCode>0.0000</c:formatCode>
                <c:ptCount val="4"/>
                <c:pt idx="0">
                  <c:v>4.6606333333333332</c:v>
                </c:pt>
                <c:pt idx="1">
                  <c:v>4.7170666666666667</c:v>
                </c:pt>
                <c:pt idx="2">
                  <c:v>4.6619666666666673</c:v>
                </c:pt>
                <c:pt idx="3">
                  <c:v>4.6611666666666665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A3-F14A-9F81-6D4F06F5FECF}"/>
            </c:ext>
          </c:extLst>
        </c:ser>
        <c:ser>
          <c:idx val="3"/>
          <c:order val="3"/>
          <c:tx>
            <c:v>Column4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'Ti-15Ag'!$F$14:$F$17</c:f>
              <c:numCache>
                <c:formatCode>General</c:formatCode>
                <c:ptCount val="4"/>
                <c:pt idx="0">
                  <c:v>150</c:v>
                </c:pt>
                <c:pt idx="1">
                  <c:v>100</c:v>
                </c:pt>
                <c:pt idx="2">
                  <c:v>133.33333333333334</c:v>
                </c:pt>
                <c:pt idx="3">
                  <c:v>100</c:v>
                </c:pt>
              </c:numCache>
            </c:numRef>
          </c:xVal>
          <c:yVal>
            <c:numRef>
              <c:f>'Ti-15Ag'!$J$14:$J$17</c:f>
              <c:numCache>
                <c:formatCode>0.0000</c:formatCode>
                <c:ptCount val="4"/>
                <c:pt idx="0">
                  <c:v>4.6919000000000004</c:v>
                </c:pt>
                <c:pt idx="1">
                  <c:v>4.7467666666666668</c:v>
                </c:pt>
                <c:pt idx="2">
                  <c:v>4.7050333333333327</c:v>
                </c:pt>
                <c:pt idx="3">
                  <c:v>4.694233333333333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A3-F14A-9F81-6D4F06F5F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415680"/>
        <c:axId val="1167417408"/>
      </c:scatterChart>
      <c:valAx>
        <c:axId val="1167415680"/>
        <c:scaling>
          <c:orientation val="minMax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417408"/>
        <c:crosses val="autoZero"/>
        <c:crossBetween val="midCat"/>
      </c:valAx>
      <c:valAx>
        <c:axId val="116741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415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JR265 - Ti-25Ag (wt%)</a:t>
            </a:r>
            <a:r>
              <a:rPr lang="en-GB" sz="2000" baseline="0"/>
              <a:t> Archimedes</a:t>
            </a:r>
            <a:endParaRPr lang="en-GB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'Ti-25Ag'!$F$2:$F$16</c:f>
                <c:numCache>
                  <c:formatCode>General</c:formatCode>
                  <c:ptCount val="15"/>
                  <c:pt idx="0">
                    <c:v>3.410763355418648E-2</c:v>
                  </c:pt>
                  <c:pt idx="1">
                    <c:v>1.7337550768971356E-2</c:v>
                  </c:pt>
                  <c:pt idx="2">
                    <c:v>1.1086688715151673E-2</c:v>
                  </c:pt>
                  <c:pt idx="3">
                    <c:v>2.773286858584937E-2</c:v>
                  </c:pt>
                  <c:pt idx="4">
                    <c:v>2.5207598060902184E-2</c:v>
                  </c:pt>
                  <c:pt idx="5">
                    <c:v>2.0128329952250616E-2</c:v>
                  </c:pt>
                  <c:pt idx="6">
                    <c:v>2.8271569936363053E-2</c:v>
                  </c:pt>
                  <c:pt idx="7">
                    <c:v>3.0706611665893575E-2</c:v>
                  </c:pt>
                  <c:pt idx="8">
                    <c:v>1.4827103560709433E-2</c:v>
                  </c:pt>
                  <c:pt idx="9">
                    <c:v>2.6363288869182953E-2</c:v>
                  </c:pt>
                  <c:pt idx="10">
                    <c:v>2.2872341375556528E-2</c:v>
                  </c:pt>
                  <c:pt idx="11">
                    <c:v>2.2021966306395128E-2</c:v>
                  </c:pt>
                  <c:pt idx="12">
                    <c:v>2.0245855542966415E-2</c:v>
                  </c:pt>
                  <c:pt idx="13">
                    <c:v>1.5394241347551508E-2</c:v>
                  </c:pt>
                  <c:pt idx="14">
                    <c:v>2.6798208895372138E-2</c:v>
                  </c:pt>
                </c:numCache>
              </c:numRef>
            </c:plus>
            <c:minus>
              <c:numRef>
                <c:f>'Ti-25Ag'!$F$2:$F$16</c:f>
                <c:numCache>
                  <c:formatCode>General</c:formatCode>
                  <c:ptCount val="15"/>
                  <c:pt idx="0">
                    <c:v>3.410763355418648E-2</c:v>
                  </c:pt>
                  <c:pt idx="1">
                    <c:v>1.7337550768971356E-2</c:v>
                  </c:pt>
                  <c:pt idx="2">
                    <c:v>1.1086688715151673E-2</c:v>
                  </c:pt>
                  <c:pt idx="3">
                    <c:v>2.773286858584937E-2</c:v>
                  </c:pt>
                  <c:pt idx="4">
                    <c:v>2.5207598060902184E-2</c:v>
                  </c:pt>
                  <c:pt idx="5">
                    <c:v>2.0128329952250616E-2</c:v>
                  </c:pt>
                  <c:pt idx="6">
                    <c:v>2.8271569936363053E-2</c:v>
                  </c:pt>
                  <c:pt idx="7">
                    <c:v>3.0706611665893575E-2</c:v>
                  </c:pt>
                  <c:pt idx="8">
                    <c:v>1.4827103560709433E-2</c:v>
                  </c:pt>
                  <c:pt idx="9">
                    <c:v>2.6363288869182953E-2</c:v>
                  </c:pt>
                  <c:pt idx="10">
                    <c:v>2.2872341375556528E-2</c:v>
                  </c:pt>
                  <c:pt idx="11">
                    <c:v>2.2021966306395128E-2</c:v>
                  </c:pt>
                  <c:pt idx="12">
                    <c:v>2.0245855542966415E-2</c:v>
                  </c:pt>
                  <c:pt idx="13">
                    <c:v>1.5394241347551508E-2</c:v>
                  </c:pt>
                  <c:pt idx="14">
                    <c:v>2.6798208895372138E-2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'Ti-25Ag'!$D$2:$D$16</c:f>
              <c:numCache>
                <c:formatCode>General</c:formatCode>
                <c:ptCount val="15"/>
                <c:pt idx="0">
                  <c:v>116.66666666666667</c:v>
                </c:pt>
                <c:pt idx="1">
                  <c:v>100</c:v>
                </c:pt>
                <c:pt idx="2">
                  <c:v>200</c:v>
                </c:pt>
                <c:pt idx="3">
                  <c:v>100</c:v>
                </c:pt>
                <c:pt idx="4">
                  <c:v>150</c:v>
                </c:pt>
                <c:pt idx="5">
                  <c:v>80</c:v>
                </c:pt>
                <c:pt idx="6">
                  <c:v>300</c:v>
                </c:pt>
                <c:pt idx="7">
                  <c:v>175</c:v>
                </c:pt>
                <c:pt idx="8">
                  <c:v>70</c:v>
                </c:pt>
                <c:pt idx="9">
                  <c:v>133.33333333333334</c:v>
                </c:pt>
                <c:pt idx="10">
                  <c:v>350</c:v>
                </c:pt>
                <c:pt idx="11">
                  <c:v>400</c:v>
                </c:pt>
                <c:pt idx="12">
                  <c:v>87.5</c:v>
                </c:pt>
                <c:pt idx="13">
                  <c:v>60</c:v>
                </c:pt>
                <c:pt idx="14">
                  <c:v>75</c:v>
                </c:pt>
              </c:numCache>
            </c:numRef>
          </c:xVal>
          <c:yVal>
            <c:numRef>
              <c:f>'Ti-25Ag'!$E$2:$E$16</c:f>
              <c:numCache>
                <c:formatCode>0.0000</c:formatCode>
                <c:ptCount val="15"/>
                <c:pt idx="0">
                  <c:v>4.8771333333333331</c:v>
                </c:pt>
                <c:pt idx="1">
                  <c:v>4.8750333333333336</c:v>
                </c:pt>
                <c:pt idx="2">
                  <c:v>4.8749666666666682</c:v>
                </c:pt>
                <c:pt idx="3">
                  <c:v>4.8570000000000002</c:v>
                </c:pt>
                <c:pt idx="4">
                  <c:v>4.8389499999999996</c:v>
                </c:pt>
                <c:pt idx="5">
                  <c:v>4.8355166666666669</c:v>
                </c:pt>
                <c:pt idx="6">
                  <c:v>4.8305833333333332</c:v>
                </c:pt>
                <c:pt idx="7">
                  <c:v>4.8194999999999988</c:v>
                </c:pt>
                <c:pt idx="8">
                  <c:v>4.8168499999999996</c:v>
                </c:pt>
                <c:pt idx="9">
                  <c:v>4.8000499999999997</c:v>
                </c:pt>
                <c:pt idx="10">
                  <c:v>4.7827999999999999</c:v>
                </c:pt>
                <c:pt idx="11">
                  <c:v>4.78085</c:v>
                </c:pt>
                <c:pt idx="12">
                  <c:v>4.7573333333333325</c:v>
                </c:pt>
                <c:pt idx="13">
                  <c:v>4.6725333333333339</c:v>
                </c:pt>
                <c:pt idx="14">
                  <c:v>4.6513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50-EE4D-85B9-C4EF8FCD1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2069136"/>
        <c:axId val="1612070864"/>
      </c:scatterChart>
      <c:valAx>
        <c:axId val="161206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Energy Density (J/m)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70864"/>
        <c:crosses val="autoZero"/>
        <c:crossBetween val="midCat"/>
      </c:valAx>
      <c:valAx>
        <c:axId val="161207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Density</a:t>
                </a:r>
                <a:r>
                  <a:rPr lang="en-GB" sz="1200" baseline="0"/>
                  <a:t> (g/cm^3)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69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JR265 - Ti-25Ag (wt%)</a:t>
            </a:r>
            <a:r>
              <a:rPr lang="en-GB" sz="2000" baseline="0"/>
              <a:t> Archimedes</a:t>
            </a:r>
            <a:endParaRPr lang="en-GB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'Ti-25Ag'!$F$2:$F$16</c:f>
                <c:numCache>
                  <c:formatCode>General</c:formatCode>
                  <c:ptCount val="15"/>
                  <c:pt idx="0">
                    <c:v>3.410763355418648E-2</c:v>
                  </c:pt>
                  <c:pt idx="1">
                    <c:v>1.7337550768971356E-2</c:v>
                  </c:pt>
                  <c:pt idx="2">
                    <c:v>1.1086688715151673E-2</c:v>
                  </c:pt>
                  <c:pt idx="3">
                    <c:v>2.773286858584937E-2</c:v>
                  </c:pt>
                  <c:pt idx="4">
                    <c:v>2.5207598060902184E-2</c:v>
                  </c:pt>
                  <c:pt idx="5">
                    <c:v>2.0128329952250616E-2</c:v>
                  </c:pt>
                  <c:pt idx="6">
                    <c:v>2.8271569936363053E-2</c:v>
                  </c:pt>
                  <c:pt idx="7">
                    <c:v>3.0706611665893575E-2</c:v>
                  </c:pt>
                  <c:pt idx="8">
                    <c:v>1.4827103560709433E-2</c:v>
                  </c:pt>
                  <c:pt idx="9">
                    <c:v>2.6363288869182953E-2</c:v>
                  </c:pt>
                  <c:pt idx="10">
                    <c:v>2.2872341375556528E-2</c:v>
                  </c:pt>
                  <c:pt idx="11">
                    <c:v>2.2021966306395128E-2</c:v>
                  </c:pt>
                  <c:pt idx="12">
                    <c:v>2.0245855542966415E-2</c:v>
                  </c:pt>
                  <c:pt idx="13">
                    <c:v>1.5394241347551508E-2</c:v>
                  </c:pt>
                  <c:pt idx="14">
                    <c:v>2.6798208895372138E-2</c:v>
                  </c:pt>
                </c:numCache>
              </c:numRef>
            </c:plus>
            <c:minus>
              <c:numRef>
                <c:f>'Ti-25Ag'!$F$2:$F$16</c:f>
                <c:numCache>
                  <c:formatCode>General</c:formatCode>
                  <c:ptCount val="15"/>
                  <c:pt idx="0">
                    <c:v>3.410763355418648E-2</c:v>
                  </c:pt>
                  <c:pt idx="1">
                    <c:v>1.7337550768971356E-2</c:v>
                  </c:pt>
                  <c:pt idx="2">
                    <c:v>1.1086688715151673E-2</c:v>
                  </c:pt>
                  <c:pt idx="3">
                    <c:v>2.773286858584937E-2</c:v>
                  </c:pt>
                  <c:pt idx="4">
                    <c:v>2.5207598060902184E-2</c:v>
                  </c:pt>
                  <c:pt idx="5">
                    <c:v>2.0128329952250616E-2</c:v>
                  </c:pt>
                  <c:pt idx="6">
                    <c:v>2.8271569936363053E-2</c:v>
                  </c:pt>
                  <c:pt idx="7">
                    <c:v>3.0706611665893575E-2</c:v>
                  </c:pt>
                  <c:pt idx="8">
                    <c:v>1.4827103560709433E-2</c:v>
                  </c:pt>
                  <c:pt idx="9">
                    <c:v>2.6363288869182953E-2</c:v>
                  </c:pt>
                  <c:pt idx="10">
                    <c:v>2.2872341375556528E-2</c:v>
                  </c:pt>
                  <c:pt idx="11">
                    <c:v>2.2021966306395128E-2</c:v>
                  </c:pt>
                  <c:pt idx="12">
                    <c:v>2.0245855542966415E-2</c:v>
                  </c:pt>
                  <c:pt idx="13">
                    <c:v>1.5394241347551508E-2</c:v>
                  </c:pt>
                  <c:pt idx="14">
                    <c:v>2.6798208895372138E-2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'Ti-25Ag'!$D$2:$D$16</c:f>
              <c:numCache>
                <c:formatCode>General</c:formatCode>
                <c:ptCount val="15"/>
                <c:pt idx="0">
                  <c:v>116.66666666666667</c:v>
                </c:pt>
                <c:pt idx="1">
                  <c:v>100</c:v>
                </c:pt>
                <c:pt idx="2">
                  <c:v>200</c:v>
                </c:pt>
                <c:pt idx="3">
                  <c:v>100</c:v>
                </c:pt>
                <c:pt idx="4">
                  <c:v>150</c:v>
                </c:pt>
                <c:pt idx="5">
                  <c:v>80</c:v>
                </c:pt>
                <c:pt idx="6">
                  <c:v>300</c:v>
                </c:pt>
                <c:pt idx="7">
                  <c:v>175</c:v>
                </c:pt>
                <c:pt idx="8">
                  <c:v>70</c:v>
                </c:pt>
                <c:pt idx="9">
                  <c:v>133.33333333333334</c:v>
                </c:pt>
                <c:pt idx="10">
                  <c:v>350</c:v>
                </c:pt>
                <c:pt idx="11">
                  <c:v>400</c:v>
                </c:pt>
                <c:pt idx="12">
                  <c:v>87.5</c:v>
                </c:pt>
                <c:pt idx="13">
                  <c:v>60</c:v>
                </c:pt>
                <c:pt idx="14">
                  <c:v>75</c:v>
                </c:pt>
              </c:numCache>
            </c:numRef>
          </c:xVal>
          <c:yVal>
            <c:numRef>
              <c:f>'Ti-25Ag'!$E$2:$E$16</c:f>
              <c:numCache>
                <c:formatCode>0.0000</c:formatCode>
                <c:ptCount val="15"/>
                <c:pt idx="0">
                  <c:v>4.8771333333333331</c:v>
                </c:pt>
                <c:pt idx="1">
                  <c:v>4.8750333333333336</c:v>
                </c:pt>
                <c:pt idx="2">
                  <c:v>4.8749666666666682</c:v>
                </c:pt>
                <c:pt idx="3">
                  <c:v>4.8570000000000002</c:v>
                </c:pt>
                <c:pt idx="4">
                  <c:v>4.8389499999999996</c:v>
                </c:pt>
                <c:pt idx="5">
                  <c:v>4.8355166666666669</c:v>
                </c:pt>
                <c:pt idx="6">
                  <c:v>4.8305833333333332</c:v>
                </c:pt>
                <c:pt idx="7">
                  <c:v>4.8194999999999988</c:v>
                </c:pt>
                <c:pt idx="8">
                  <c:v>4.8168499999999996</c:v>
                </c:pt>
                <c:pt idx="9">
                  <c:v>4.8000499999999997</c:v>
                </c:pt>
                <c:pt idx="10">
                  <c:v>4.7827999999999999</c:v>
                </c:pt>
                <c:pt idx="11">
                  <c:v>4.78085</c:v>
                </c:pt>
                <c:pt idx="12">
                  <c:v>4.7573333333333325</c:v>
                </c:pt>
                <c:pt idx="13">
                  <c:v>4.6725333333333339</c:v>
                </c:pt>
                <c:pt idx="14">
                  <c:v>4.6513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A5-9048-B6B6-5536486D5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2069136"/>
        <c:axId val="1612070864"/>
      </c:scatterChart>
      <c:valAx>
        <c:axId val="161206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Energy Density (J/m)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70864"/>
        <c:crosses val="autoZero"/>
        <c:crossBetween val="midCat"/>
      </c:valAx>
      <c:valAx>
        <c:axId val="161207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Density</a:t>
                </a:r>
                <a:r>
                  <a:rPr lang="en-GB" sz="1200" baseline="0"/>
                  <a:t> (g/cm^3)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69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JR299 - Ti-7Sterling (at%) Archimedes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B8CD2F4-8BB3-4469-9EC7-4776F5AD4A2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1FF-484F-9C68-6A84154464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9C9690D-D5FB-40B9-9D2C-F6CE17F4444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1FF-484F-9C68-6A84154464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EE56F86-D8E3-4632-8523-526C796683E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1FF-484F-9C68-6A84154464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8CB8E21-1683-45D0-9337-77EC91C373A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1FF-484F-9C68-6A84154464F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EB8186D-5F48-47CA-B665-E037D0ADF8B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1FF-484F-9C68-6A84154464F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B7390A4-3EEF-4E2B-830A-2E8678653EC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1FF-484F-9C68-6A84154464F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F4E7711-0A40-491B-87B7-CF4E7C05C94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1FF-484F-9C68-6A84154464F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DE85148-7E18-43FD-9CDB-445A7B2EA3D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1FF-484F-9C68-6A84154464F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137BCE9-4403-4A5C-B60C-2FC5805CB25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1FF-484F-9C68-6A84154464F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0B9C386-474D-4207-A892-52CCC2171FD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1FF-484F-9C68-6A84154464F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136261D-B906-416B-80E0-AD8049B418A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1FF-484F-9C68-6A84154464F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55ECBCE-419C-4DA6-9572-65807FF1C8A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1FF-484F-9C68-6A84154464F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DE4C29A-2BA2-41B3-9CB6-C8B2BDBF9C6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1FF-484F-9C68-6A84154464F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F56B4B4-0243-4CD6-80DD-14CE070CA64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1FF-484F-9C68-6A84154464F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8096CC6-CA66-4F4C-9212-5AB50D3A69C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46E-4F33-9BA7-84403418740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F6F04C1-C78A-4605-828F-D44BE243CF6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46E-4F33-9BA7-84403418740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9F018E5-C37F-4D45-83C0-3A977921FA5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46E-4F33-9BA7-8440341874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'Ti-Sterling'!$F$2:$F$20</c:f>
                <c:numCache>
                  <c:formatCode>General</c:formatCode>
                  <c:ptCount val="19"/>
                  <c:pt idx="0">
                    <c:v>4.5092497528230538E-3</c:v>
                  </c:pt>
                  <c:pt idx="1">
                    <c:v>4.8751068364363817E-3</c:v>
                  </c:pt>
                  <c:pt idx="2">
                    <c:v>1.0214368964029757E-2</c:v>
                  </c:pt>
                  <c:pt idx="3">
                    <c:v>4.0414518843273749E-3</c:v>
                  </c:pt>
                  <c:pt idx="4">
                    <c:v>2.0816659994659747E-3</c:v>
                  </c:pt>
                  <c:pt idx="5">
                    <c:v>5.7735026918981857E-4</c:v>
                  </c:pt>
                  <c:pt idx="6">
                    <c:v>2.0816659994663303E-3</c:v>
                  </c:pt>
                  <c:pt idx="7">
                    <c:v>4.3588989435406006E-3</c:v>
                  </c:pt>
                  <c:pt idx="8">
                    <c:v>2.645751311064635E-3</c:v>
                  </c:pt>
                  <c:pt idx="9">
                    <c:v>3.6055512754638386E-3</c:v>
                  </c:pt>
                  <c:pt idx="10">
                    <c:v>1.1547005383791243E-3</c:v>
                  </c:pt>
                  <c:pt idx="11">
                    <c:v>2.5166114784235414E-3</c:v>
                  </c:pt>
                  <c:pt idx="12">
                    <c:v>3.0550504633039444E-3</c:v>
                  </c:pt>
                  <c:pt idx="13">
                    <c:v>3.214550253664379E-3</c:v>
                  </c:pt>
                  <c:pt idx="14">
                    <c:v>3.6055512754638386E-3</c:v>
                  </c:pt>
                  <c:pt idx="15">
                    <c:v>3.7947331922022925E-3</c:v>
                  </c:pt>
                  <c:pt idx="16">
                    <c:v>5.7532599454569403E-3</c:v>
                  </c:pt>
                  <c:pt idx="17">
                    <c:v>4.8887626246319248E-3</c:v>
                  </c:pt>
                  <c:pt idx="18">
                    <c:v>5.6361925682742713E-3</c:v>
                  </c:pt>
                </c:numCache>
              </c:numRef>
            </c:plus>
            <c:minus>
              <c:numRef>
                <c:f>'Ti-Sterling'!$F$2:$F$20</c:f>
                <c:numCache>
                  <c:formatCode>General</c:formatCode>
                  <c:ptCount val="19"/>
                  <c:pt idx="0">
                    <c:v>4.5092497528230538E-3</c:v>
                  </c:pt>
                  <c:pt idx="1">
                    <c:v>4.8751068364363817E-3</c:v>
                  </c:pt>
                  <c:pt idx="2">
                    <c:v>1.0214368964029757E-2</c:v>
                  </c:pt>
                  <c:pt idx="3">
                    <c:v>4.0414518843273749E-3</c:v>
                  </c:pt>
                  <c:pt idx="4">
                    <c:v>2.0816659994659747E-3</c:v>
                  </c:pt>
                  <c:pt idx="5">
                    <c:v>5.7735026918981857E-4</c:v>
                  </c:pt>
                  <c:pt idx="6">
                    <c:v>2.0816659994663303E-3</c:v>
                  </c:pt>
                  <c:pt idx="7">
                    <c:v>4.3588989435406006E-3</c:v>
                  </c:pt>
                  <c:pt idx="8">
                    <c:v>2.645751311064635E-3</c:v>
                  </c:pt>
                  <c:pt idx="9">
                    <c:v>3.6055512754638386E-3</c:v>
                  </c:pt>
                  <c:pt idx="10">
                    <c:v>1.1547005383791243E-3</c:v>
                  </c:pt>
                  <c:pt idx="11">
                    <c:v>2.5166114784235414E-3</c:v>
                  </c:pt>
                  <c:pt idx="12">
                    <c:v>3.0550504633039444E-3</c:v>
                  </c:pt>
                  <c:pt idx="13">
                    <c:v>3.214550253664379E-3</c:v>
                  </c:pt>
                  <c:pt idx="14">
                    <c:v>3.6055512754638386E-3</c:v>
                  </c:pt>
                  <c:pt idx="15">
                    <c:v>3.7947331922022925E-3</c:v>
                  </c:pt>
                  <c:pt idx="16">
                    <c:v>5.7532599454569403E-3</c:v>
                  </c:pt>
                  <c:pt idx="17">
                    <c:v>4.8887626246319248E-3</c:v>
                  </c:pt>
                  <c:pt idx="18">
                    <c:v>5.6361925682742713E-3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'Ti-Sterling'!$D$2:$D$18</c:f>
              <c:numCache>
                <c:formatCode>General</c:formatCode>
                <c:ptCount val="17"/>
                <c:pt idx="0">
                  <c:v>300</c:v>
                </c:pt>
                <c:pt idx="1">
                  <c:v>150</c:v>
                </c:pt>
                <c:pt idx="2">
                  <c:v>100</c:v>
                </c:pt>
                <c:pt idx="3">
                  <c:v>75</c:v>
                </c:pt>
                <c:pt idx="4">
                  <c:v>60</c:v>
                </c:pt>
                <c:pt idx="5">
                  <c:v>350</c:v>
                </c:pt>
                <c:pt idx="6">
                  <c:v>175</c:v>
                </c:pt>
                <c:pt idx="7">
                  <c:v>116.66666666666667</c:v>
                </c:pt>
                <c:pt idx="8">
                  <c:v>87.5</c:v>
                </c:pt>
                <c:pt idx="9">
                  <c:v>70</c:v>
                </c:pt>
                <c:pt idx="10">
                  <c:v>400</c:v>
                </c:pt>
                <c:pt idx="11">
                  <c:v>200</c:v>
                </c:pt>
                <c:pt idx="12">
                  <c:v>133.33333333333334</c:v>
                </c:pt>
                <c:pt idx="13">
                  <c:v>100</c:v>
                </c:pt>
                <c:pt idx="14">
                  <c:v>80</c:v>
                </c:pt>
                <c:pt idx="15">
                  <c:v>150</c:v>
                </c:pt>
                <c:pt idx="16">
                  <c:v>150</c:v>
                </c:pt>
              </c:numCache>
            </c:numRef>
          </c:xVal>
          <c:yVal>
            <c:numRef>
              <c:f>'Ti-Sterling'!$E$2:$E$18</c:f>
              <c:numCache>
                <c:formatCode>0.0000</c:formatCode>
                <c:ptCount val="17"/>
                <c:pt idx="0">
                  <c:v>4.7546666666666662</c:v>
                </c:pt>
                <c:pt idx="1">
                  <c:v>4.8031666666666668</c:v>
                </c:pt>
                <c:pt idx="2">
                  <c:v>4.8406666666666665</c:v>
                </c:pt>
                <c:pt idx="3">
                  <c:v>4.839666666666667</c:v>
                </c:pt>
                <c:pt idx="4">
                  <c:v>4.7583333333333337</c:v>
                </c:pt>
                <c:pt idx="5">
                  <c:v>4.7633333333333336</c:v>
                </c:pt>
                <c:pt idx="6">
                  <c:v>4.8206666666666669</c:v>
                </c:pt>
                <c:pt idx="7">
                  <c:v>4.8490000000000002</c:v>
                </c:pt>
                <c:pt idx="8">
                  <c:v>4.8560000000000008</c:v>
                </c:pt>
                <c:pt idx="9">
                  <c:v>4.8129999999999997</c:v>
                </c:pt>
                <c:pt idx="10">
                  <c:v>4.7643333333333331</c:v>
                </c:pt>
                <c:pt idx="11">
                  <c:v>4.8056666666666663</c:v>
                </c:pt>
                <c:pt idx="12">
                  <c:v>4.8413333333333339</c:v>
                </c:pt>
                <c:pt idx="13">
                  <c:v>4.8526666666666669</c:v>
                </c:pt>
                <c:pt idx="14">
                  <c:v>4.8310000000000004</c:v>
                </c:pt>
                <c:pt idx="15">
                  <c:v>4.8410000000000002</c:v>
                </c:pt>
                <c:pt idx="16">
                  <c:v>4.8525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'Ti-Sterling'!$A$2:$A$20</c15:f>
                <c15:dlblRangeCache>
                  <c:ptCount val="19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17</c:v>
                  </c:pt>
                  <c:pt idx="16">
                    <c:v>18</c:v>
                  </c:pt>
                  <c:pt idx="17">
                    <c:v>19</c:v>
                  </c:pt>
                  <c:pt idx="18">
                    <c:v>20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1FF-484F-9C68-6A84154464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12942575"/>
        <c:axId val="1812939215"/>
      </c:scatterChart>
      <c:valAx>
        <c:axId val="181294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Energy Density (J/m) </a:t>
                </a:r>
                <a:endParaRPr lang="en-GB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939215"/>
        <c:crosses val="autoZero"/>
        <c:crossBetween val="midCat"/>
      </c:valAx>
      <c:valAx>
        <c:axId val="181293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Density AVG (g/cm^3)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942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9" Type="http://schemas.openxmlformats.org/officeDocument/2006/relationships/image" Target="../media/image19.png"/><Relationship Id="rId34" Type="http://schemas.openxmlformats.org/officeDocument/2006/relationships/customXml" Target="../ink/ink4.xml"/><Relationship Id="rId42" Type="http://schemas.openxmlformats.org/officeDocument/2006/relationships/customXml" Target="../ink/ink8.xml"/><Relationship Id="rId47" Type="http://schemas.openxmlformats.org/officeDocument/2006/relationships/image" Target="../media/image23.png"/><Relationship Id="rId50" Type="http://schemas.openxmlformats.org/officeDocument/2006/relationships/customXml" Target="../ink/ink12.xml"/><Relationship Id="rId55" Type="http://schemas.openxmlformats.org/officeDocument/2006/relationships/image" Target="../media/image27.png"/><Relationship Id="rId63" Type="http://schemas.openxmlformats.org/officeDocument/2006/relationships/image" Target="../media/image31.png"/><Relationship Id="rId2" Type="http://schemas.openxmlformats.org/officeDocument/2006/relationships/image" Target="../media/image2.png"/><Relationship Id="rId29" Type="http://schemas.openxmlformats.org/officeDocument/2006/relationships/image" Target="../media/image14.png"/><Relationship Id="rId41" Type="http://schemas.openxmlformats.org/officeDocument/2006/relationships/image" Target="../media/image20.png"/><Relationship Id="rId54" Type="http://schemas.openxmlformats.org/officeDocument/2006/relationships/customXml" Target="../ink/ink14.xml"/><Relationship Id="rId62" Type="http://schemas.openxmlformats.org/officeDocument/2006/relationships/customXml" Target="../ink/ink18.xml"/><Relationship Id="rId1" Type="http://schemas.openxmlformats.org/officeDocument/2006/relationships/chart" Target="../charts/chart3.xml"/><Relationship Id="rId32" Type="http://schemas.openxmlformats.org/officeDocument/2006/relationships/customXml" Target="../ink/ink3.xml"/><Relationship Id="rId37" Type="http://schemas.openxmlformats.org/officeDocument/2006/relationships/image" Target="../media/image18.png"/><Relationship Id="rId40" Type="http://schemas.openxmlformats.org/officeDocument/2006/relationships/customXml" Target="../ink/ink7.xml"/><Relationship Id="rId45" Type="http://schemas.openxmlformats.org/officeDocument/2006/relationships/image" Target="../media/image22.png"/><Relationship Id="rId53" Type="http://schemas.openxmlformats.org/officeDocument/2006/relationships/image" Target="../media/image26.png"/><Relationship Id="rId58" Type="http://schemas.openxmlformats.org/officeDocument/2006/relationships/customXml" Target="../ink/ink16.xml"/><Relationship Id="rId36" Type="http://schemas.openxmlformats.org/officeDocument/2006/relationships/customXml" Target="../ink/ink5.xml"/><Relationship Id="rId49" Type="http://schemas.openxmlformats.org/officeDocument/2006/relationships/image" Target="../media/image24.png"/><Relationship Id="rId57" Type="http://schemas.openxmlformats.org/officeDocument/2006/relationships/image" Target="../media/image28.png"/><Relationship Id="rId61" Type="http://schemas.openxmlformats.org/officeDocument/2006/relationships/image" Target="../media/image30.png"/><Relationship Id="rId31" Type="http://schemas.openxmlformats.org/officeDocument/2006/relationships/image" Target="../media/image15.png"/><Relationship Id="rId44" Type="http://schemas.openxmlformats.org/officeDocument/2006/relationships/customXml" Target="../ink/ink9.xml"/><Relationship Id="rId52" Type="http://schemas.openxmlformats.org/officeDocument/2006/relationships/customXml" Target="../ink/ink13.xml"/><Relationship Id="rId60" Type="http://schemas.openxmlformats.org/officeDocument/2006/relationships/customXml" Target="../ink/ink17.xml"/><Relationship Id="rId65" Type="http://schemas.openxmlformats.org/officeDocument/2006/relationships/image" Target="../media/image32.png"/><Relationship Id="rId4" Type="http://schemas.openxmlformats.org/officeDocument/2006/relationships/customXml" Target="../ink/ink1.xml"/><Relationship Id="rId30" Type="http://schemas.openxmlformats.org/officeDocument/2006/relationships/customXml" Target="../ink/ink2.xml"/><Relationship Id="rId35" Type="http://schemas.openxmlformats.org/officeDocument/2006/relationships/image" Target="../media/image17.png"/><Relationship Id="rId43" Type="http://schemas.openxmlformats.org/officeDocument/2006/relationships/image" Target="../media/image21.png"/><Relationship Id="rId48" Type="http://schemas.openxmlformats.org/officeDocument/2006/relationships/customXml" Target="../ink/ink11.xml"/><Relationship Id="rId56" Type="http://schemas.openxmlformats.org/officeDocument/2006/relationships/customXml" Target="../ink/ink15.xml"/><Relationship Id="rId64" Type="http://schemas.openxmlformats.org/officeDocument/2006/relationships/customXml" Target="../ink/ink19.xml"/><Relationship Id="rId51" Type="http://schemas.openxmlformats.org/officeDocument/2006/relationships/image" Target="../media/image25.png"/><Relationship Id="rId3" Type="http://schemas.openxmlformats.org/officeDocument/2006/relationships/chart" Target="../charts/chart4.xml"/><Relationship Id="rId33" Type="http://schemas.openxmlformats.org/officeDocument/2006/relationships/image" Target="../media/image16.png"/><Relationship Id="rId38" Type="http://schemas.openxmlformats.org/officeDocument/2006/relationships/customXml" Target="../ink/ink6.xml"/><Relationship Id="rId46" Type="http://schemas.openxmlformats.org/officeDocument/2006/relationships/customXml" Target="../ink/ink10.xml"/><Relationship Id="rId59" Type="http://schemas.openxmlformats.org/officeDocument/2006/relationships/image" Target="../media/image2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58" name="AutoShape 3" descr="\sigma">
          <a:extLst>
            <a:ext uri="{FF2B5EF4-FFF2-40B4-BE49-F238E27FC236}">
              <a16:creationId xmlns:a16="http://schemas.microsoft.com/office/drawing/2014/main" id="{8F7019C0-B1BA-9842-9003-C11B8D3D724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59" name="AutoShape 4" descr="\sigma">
          <a:extLst>
            <a:ext uri="{FF2B5EF4-FFF2-40B4-BE49-F238E27FC236}">
              <a16:creationId xmlns:a16="http://schemas.microsoft.com/office/drawing/2014/main" id="{32C1C360-DAE3-B848-A77B-2BF4E44C41D2}"/>
            </a:ext>
          </a:extLst>
        </xdr:cNvPr>
        <xdr:cNvSpPr>
          <a:spLocks noChangeAspect="1" noChangeArrowheads="1"/>
        </xdr:cNvSpPr>
      </xdr:nvSpPr>
      <xdr:spPr bwMode="auto">
        <a:xfrm>
          <a:off x="4483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60" name="AutoShape 3" descr="\sigma">
          <a:extLst>
            <a:ext uri="{FF2B5EF4-FFF2-40B4-BE49-F238E27FC236}">
              <a16:creationId xmlns:a16="http://schemas.microsoft.com/office/drawing/2014/main" id="{3108EA5E-AEE5-9146-8056-59E3C857808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61" name="AutoShape 4" descr="\sigma">
          <a:extLst>
            <a:ext uri="{FF2B5EF4-FFF2-40B4-BE49-F238E27FC236}">
              <a16:creationId xmlns:a16="http://schemas.microsoft.com/office/drawing/2014/main" id="{7F42F4EE-D8B6-8F45-8CFB-EFDA4316BDF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2" name="AutoShape 3" descr="\sigma">
          <a:extLst>
            <a:ext uri="{FF2B5EF4-FFF2-40B4-BE49-F238E27FC236}">
              <a16:creationId xmlns:a16="http://schemas.microsoft.com/office/drawing/2014/main" id="{68C544A0-13F4-6C44-B03B-050B6DFC40E3}"/>
            </a:ext>
          </a:extLst>
        </xdr:cNvPr>
        <xdr:cNvSpPr>
          <a:spLocks noChangeAspect="1" noChangeArrowheads="1"/>
        </xdr:cNvSpPr>
      </xdr:nvSpPr>
      <xdr:spPr bwMode="auto">
        <a:xfrm>
          <a:off x="44831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3" name="AutoShape 4" descr="\sigma">
          <a:extLst>
            <a:ext uri="{FF2B5EF4-FFF2-40B4-BE49-F238E27FC236}">
              <a16:creationId xmlns:a16="http://schemas.microsoft.com/office/drawing/2014/main" id="{98110AC9-C480-1C49-AD51-FD073D779DAB}"/>
            </a:ext>
          </a:extLst>
        </xdr:cNvPr>
        <xdr:cNvSpPr>
          <a:spLocks noChangeAspect="1" noChangeArrowheads="1"/>
        </xdr:cNvSpPr>
      </xdr:nvSpPr>
      <xdr:spPr bwMode="auto">
        <a:xfrm>
          <a:off x="44831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64" name="AutoShape 3" descr="\sigma">
          <a:extLst>
            <a:ext uri="{FF2B5EF4-FFF2-40B4-BE49-F238E27FC236}">
              <a16:creationId xmlns:a16="http://schemas.microsoft.com/office/drawing/2014/main" id="{1B89A5CC-3CEF-7E4A-BC62-3649D812F7E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65" name="AutoShape 4" descr="\sigma">
          <a:extLst>
            <a:ext uri="{FF2B5EF4-FFF2-40B4-BE49-F238E27FC236}">
              <a16:creationId xmlns:a16="http://schemas.microsoft.com/office/drawing/2014/main" id="{F998FA4F-128F-F343-B46D-4A1B3401C9A3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66" name="AutoShape 3" descr="\sigma">
          <a:extLst>
            <a:ext uri="{FF2B5EF4-FFF2-40B4-BE49-F238E27FC236}">
              <a16:creationId xmlns:a16="http://schemas.microsoft.com/office/drawing/2014/main" id="{3F26E740-23AE-E24C-AF14-96EBFC57C8E1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67" name="AutoShape 4" descr="\sigma">
          <a:extLst>
            <a:ext uri="{FF2B5EF4-FFF2-40B4-BE49-F238E27FC236}">
              <a16:creationId xmlns:a16="http://schemas.microsoft.com/office/drawing/2014/main" id="{A46C7940-BADB-5C4B-B175-3E3B783A407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68" name="AutoShape 3" descr="\sigma">
          <a:extLst>
            <a:ext uri="{FF2B5EF4-FFF2-40B4-BE49-F238E27FC236}">
              <a16:creationId xmlns:a16="http://schemas.microsoft.com/office/drawing/2014/main" id="{1FBC7B14-DEE7-C24E-9BFF-F3EC80A8B804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69" name="AutoShape 4" descr="\sigma">
          <a:extLst>
            <a:ext uri="{FF2B5EF4-FFF2-40B4-BE49-F238E27FC236}">
              <a16:creationId xmlns:a16="http://schemas.microsoft.com/office/drawing/2014/main" id="{A7F0D5ED-0864-7446-87CC-46A49427AD3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70" name="AutoShape 3" descr="\sigma">
          <a:extLst>
            <a:ext uri="{FF2B5EF4-FFF2-40B4-BE49-F238E27FC236}">
              <a16:creationId xmlns:a16="http://schemas.microsoft.com/office/drawing/2014/main" id="{ECBFC6C9-4AEE-E54F-BAC9-E608CCCBADF1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71" name="AutoShape 4" descr="\sigma">
          <a:extLst>
            <a:ext uri="{FF2B5EF4-FFF2-40B4-BE49-F238E27FC236}">
              <a16:creationId xmlns:a16="http://schemas.microsoft.com/office/drawing/2014/main" id="{CFCC18D9-D0D9-8C49-82EB-A987D138BF4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72" name="AutoShape 3" descr="\sigma">
          <a:extLst>
            <a:ext uri="{FF2B5EF4-FFF2-40B4-BE49-F238E27FC236}">
              <a16:creationId xmlns:a16="http://schemas.microsoft.com/office/drawing/2014/main" id="{2FE7A1E9-88B3-474F-AC24-0C641B23158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73" name="AutoShape 4" descr="\sigma">
          <a:extLst>
            <a:ext uri="{FF2B5EF4-FFF2-40B4-BE49-F238E27FC236}">
              <a16:creationId xmlns:a16="http://schemas.microsoft.com/office/drawing/2014/main" id="{AF7EB113-09A0-EB4C-B2EA-03131A99BFCA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74" name="AutoShape 3" descr="\sigma">
          <a:extLst>
            <a:ext uri="{FF2B5EF4-FFF2-40B4-BE49-F238E27FC236}">
              <a16:creationId xmlns:a16="http://schemas.microsoft.com/office/drawing/2014/main" id="{65FDC81D-D92E-4144-BC01-9B706F7F0CF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75" name="AutoShape 4" descr="\sigma">
          <a:extLst>
            <a:ext uri="{FF2B5EF4-FFF2-40B4-BE49-F238E27FC236}">
              <a16:creationId xmlns:a16="http://schemas.microsoft.com/office/drawing/2014/main" id="{0B8F78A8-D6F7-7F4B-8C65-CF8853F0A82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76" name="AutoShape 3" descr="\sigma">
          <a:extLst>
            <a:ext uri="{FF2B5EF4-FFF2-40B4-BE49-F238E27FC236}">
              <a16:creationId xmlns:a16="http://schemas.microsoft.com/office/drawing/2014/main" id="{7F9F1CC4-C540-D94C-9CD5-D0DF93255AD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77" name="AutoShape 4" descr="\sigma">
          <a:extLst>
            <a:ext uri="{FF2B5EF4-FFF2-40B4-BE49-F238E27FC236}">
              <a16:creationId xmlns:a16="http://schemas.microsoft.com/office/drawing/2014/main" id="{2841C80F-EAE0-514B-BA04-83FB704A00F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78" name="AutoShape 3" descr="\sigma">
          <a:extLst>
            <a:ext uri="{FF2B5EF4-FFF2-40B4-BE49-F238E27FC236}">
              <a16:creationId xmlns:a16="http://schemas.microsoft.com/office/drawing/2014/main" id="{7DC6F05C-4105-0D4B-B9A1-FEDD8DB653A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79" name="AutoShape 4" descr="\sigma">
          <a:extLst>
            <a:ext uri="{FF2B5EF4-FFF2-40B4-BE49-F238E27FC236}">
              <a16:creationId xmlns:a16="http://schemas.microsoft.com/office/drawing/2014/main" id="{E08FACD6-6491-0A4A-841B-01E97EE1464A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80" name="AutoShape 3" descr="\sigma">
          <a:extLst>
            <a:ext uri="{FF2B5EF4-FFF2-40B4-BE49-F238E27FC236}">
              <a16:creationId xmlns:a16="http://schemas.microsoft.com/office/drawing/2014/main" id="{12AD2F9F-95AA-D64E-A211-6BFDEF90588B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81" name="AutoShape 4" descr="\sigma">
          <a:extLst>
            <a:ext uri="{FF2B5EF4-FFF2-40B4-BE49-F238E27FC236}">
              <a16:creationId xmlns:a16="http://schemas.microsoft.com/office/drawing/2014/main" id="{B005AE96-CACF-C442-A538-232FD4F4E1FB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82" name="AutoShape 3" descr="\sigma">
          <a:extLst>
            <a:ext uri="{FF2B5EF4-FFF2-40B4-BE49-F238E27FC236}">
              <a16:creationId xmlns:a16="http://schemas.microsoft.com/office/drawing/2014/main" id="{75F0D409-42DB-AA41-9AC5-49FC21D2C41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83" name="AutoShape 4" descr="\sigma">
          <a:extLst>
            <a:ext uri="{FF2B5EF4-FFF2-40B4-BE49-F238E27FC236}">
              <a16:creationId xmlns:a16="http://schemas.microsoft.com/office/drawing/2014/main" id="{10E1F1F0-544E-7843-A9E7-0A4813105701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84" name="AutoShape 3" descr="\sigma">
          <a:extLst>
            <a:ext uri="{FF2B5EF4-FFF2-40B4-BE49-F238E27FC236}">
              <a16:creationId xmlns:a16="http://schemas.microsoft.com/office/drawing/2014/main" id="{B77F2728-A297-F842-8DCB-4291FB747D6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85" name="AutoShape 4" descr="\sigma">
          <a:extLst>
            <a:ext uri="{FF2B5EF4-FFF2-40B4-BE49-F238E27FC236}">
              <a16:creationId xmlns:a16="http://schemas.microsoft.com/office/drawing/2014/main" id="{8F9AD07C-13C0-0E40-8B73-EA00C071F1B1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86" name="AutoShape 3" descr="\sigma">
          <a:extLst>
            <a:ext uri="{FF2B5EF4-FFF2-40B4-BE49-F238E27FC236}">
              <a16:creationId xmlns:a16="http://schemas.microsoft.com/office/drawing/2014/main" id="{CBD45D08-9FC4-594A-B6EE-76DACFFFF5C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87" name="AutoShape 4" descr="\sigma">
          <a:extLst>
            <a:ext uri="{FF2B5EF4-FFF2-40B4-BE49-F238E27FC236}">
              <a16:creationId xmlns:a16="http://schemas.microsoft.com/office/drawing/2014/main" id="{25C92535-13D1-CA40-AEDB-9B8C931C26E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88" name="AutoShape 3" descr="\sigma">
          <a:extLst>
            <a:ext uri="{FF2B5EF4-FFF2-40B4-BE49-F238E27FC236}">
              <a16:creationId xmlns:a16="http://schemas.microsoft.com/office/drawing/2014/main" id="{0C16D787-ECE9-9C47-8326-FECDE248A22D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89" name="AutoShape 4" descr="\sigma">
          <a:extLst>
            <a:ext uri="{FF2B5EF4-FFF2-40B4-BE49-F238E27FC236}">
              <a16:creationId xmlns:a16="http://schemas.microsoft.com/office/drawing/2014/main" id="{19399AD9-64D0-0C4C-85A1-8A6B64AB4F0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90" name="AutoShape 3" descr="\sigma">
          <a:extLst>
            <a:ext uri="{FF2B5EF4-FFF2-40B4-BE49-F238E27FC236}">
              <a16:creationId xmlns:a16="http://schemas.microsoft.com/office/drawing/2014/main" id="{8719F870-01F2-D144-AF5E-3552FFCA164D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91" name="AutoShape 4" descr="\sigma">
          <a:extLst>
            <a:ext uri="{FF2B5EF4-FFF2-40B4-BE49-F238E27FC236}">
              <a16:creationId xmlns:a16="http://schemas.microsoft.com/office/drawing/2014/main" id="{544B49D9-66B7-9D4B-BAE1-64710CF9FCE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92" name="AutoShape 3" descr="\sigma">
          <a:extLst>
            <a:ext uri="{FF2B5EF4-FFF2-40B4-BE49-F238E27FC236}">
              <a16:creationId xmlns:a16="http://schemas.microsoft.com/office/drawing/2014/main" id="{2629315A-F218-D148-B28C-009BB814630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93" name="AutoShape 4" descr="\sigma">
          <a:extLst>
            <a:ext uri="{FF2B5EF4-FFF2-40B4-BE49-F238E27FC236}">
              <a16:creationId xmlns:a16="http://schemas.microsoft.com/office/drawing/2014/main" id="{8814B060-411F-5C41-97BE-9A84A7002754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94" name="AutoShape 3" descr="\sigma">
          <a:extLst>
            <a:ext uri="{FF2B5EF4-FFF2-40B4-BE49-F238E27FC236}">
              <a16:creationId xmlns:a16="http://schemas.microsoft.com/office/drawing/2014/main" id="{CF24388A-93AA-2847-8F66-5B35631A8473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95" name="AutoShape 4" descr="\sigma">
          <a:extLst>
            <a:ext uri="{FF2B5EF4-FFF2-40B4-BE49-F238E27FC236}">
              <a16:creationId xmlns:a16="http://schemas.microsoft.com/office/drawing/2014/main" id="{B13D4C17-8194-694A-B0E8-0CD6F2F6FA3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6" name="AutoShape 3" descr="\sigma">
          <a:extLst>
            <a:ext uri="{FF2B5EF4-FFF2-40B4-BE49-F238E27FC236}">
              <a16:creationId xmlns:a16="http://schemas.microsoft.com/office/drawing/2014/main" id="{7AE51BF9-AA55-F949-816C-BDF63729853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7" name="AutoShape 4" descr="\sigma">
          <a:extLst>
            <a:ext uri="{FF2B5EF4-FFF2-40B4-BE49-F238E27FC236}">
              <a16:creationId xmlns:a16="http://schemas.microsoft.com/office/drawing/2014/main" id="{4AFA41B3-D8AB-AD4F-B56E-C2A9008AC18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8" name="AutoShape 3" descr="\sigma">
          <a:extLst>
            <a:ext uri="{FF2B5EF4-FFF2-40B4-BE49-F238E27FC236}">
              <a16:creationId xmlns:a16="http://schemas.microsoft.com/office/drawing/2014/main" id="{6F011FF5-E588-2747-AD2D-C2031ED1EC0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9" name="AutoShape 4" descr="\sigma">
          <a:extLst>
            <a:ext uri="{FF2B5EF4-FFF2-40B4-BE49-F238E27FC236}">
              <a16:creationId xmlns:a16="http://schemas.microsoft.com/office/drawing/2014/main" id="{FB8D94B5-99DB-254C-8B5F-0D4EAE48F731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100" name="AutoShape 3" descr="\sigma">
          <a:extLst>
            <a:ext uri="{FF2B5EF4-FFF2-40B4-BE49-F238E27FC236}">
              <a16:creationId xmlns:a16="http://schemas.microsoft.com/office/drawing/2014/main" id="{23E52F72-756A-B645-88CB-368130888D0D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101" name="AutoShape 4" descr="\sigma">
          <a:extLst>
            <a:ext uri="{FF2B5EF4-FFF2-40B4-BE49-F238E27FC236}">
              <a16:creationId xmlns:a16="http://schemas.microsoft.com/office/drawing/2014/main" id="{B6C11C67-8184-DA4F-B081-47EEA54DC171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102" name="AutoShape 3" descr="\sigma">
          <a:extLst>
            <a:ext uri="{FF2B5EF4-FFF2-40B4-BE49-F238E27FC236}">
              <a16:creationId xmlns:a16="http://schemas.microsoft.com/office/drawing/2014/main" id="{007D8F27-3D8D-5048-A5AD-E8A5D17089A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103" name="AutoShape 4" descr="\sigma">
          <a:extLst>
            <a:ext uri="{FF2B5EF4-FFF2-40B4-BE49-F238E27FC236}">
              <a16:creationId xmlns:a16="http://schemas.microsoft.com/office/drawing/2014/main" id="{BADD69AA-FDF9-CA45-8008-C86680711ABB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104" name="AutoShape 3" descr="\sigma">
          <a:extLst>
            <a:ext uri="{FF2B5EF4-FFF2-40B4-BE49-F238E27FC236}">
              <a16:creationId xmlns:a16="http://schemas.microsoft.com/office/drawing/2014/main" id="{0EE0C973-AFEF-FE46-8D3F-4CC03007572B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105" name="AutoShape 4" descr="\sigma">
          <a:extLst>
            <a:ext uri="{FF2B5EF4-FFF2-40B4-BE49-F238E27FC236}">
              <a16:creationId xmlns:a16="http://schemas.microsoft.com/office/drawing/2014/main" id="{FAD7E317-55AC-AB47-8D2F-EE1CEC8714D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106" name="AutoShape 3" descr="\sigma">
          <a:extLst>
            <a:ext uri="{FF2B5EF4-FFF2-40B4-BE49-F238E27FC236}">
              <a16:creationId xmlns:a16="http://schemas.microsoft.com/office/drawing/2014/main" id="{8521C25D-FBEB-7343-87C6-D8A1E28297A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107" name="AutoShape 4" descr="\sigma">
          <a:extLst>
            <a:ext uri="{FF2B5EF4-FFF2-40B4-BE49-F238E27FC236}">
              <a16:creationId xmlns:a16="http://schemas.microsoft.com/office/drawing/2014/main" id="{D6BB4F56-637F-684C-8A9E-E2EFECA5A3A3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108" name="AutoShape 3" descr="\sigma">
          <a:extLst>
            <a:ext uri="{FF2B5EF4-FFF2-40B4-BE49-F238E27FC236}">
              <a16:creationId xmlns:a16="http://schemas.microsoft.com/office/drawing/2014/main" id="{F206280D-3B6F-0D45-999E-2AEDCB9D428A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109" name="AutoShape 4" descr="\sigma">
          <a:extLst>
            <a:ext uri="{FF2B5EF4-FFF2-40B4-BE49-F238E27FC236}">
              <a16:creationId xmlns:a16="http://schemas.microsoft.com/office/drawing/2014/main" id="{BA0D986C-073E-714D-AA41-A14E53D6FFF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110" name="AutoShape 3" descr="\sigma">
          <a:extLst>
            <a:ext uri="{FF2B5EF4-FFF2-40B4-BE49-F238E27FC236}">
              <a16:creationId xmlns:a16="http://schemas.microsoft.com/office/drawing/2014/main" id="{17D2E993-953C-174F-AF98-62E98F37DDBB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111" name="AutoShape 4" descr="\sigma">
          <a:extLst>
            <a:ext uri="{FF2B5EF4-FFF2-40B4-BE49-F238E27FC236}">
              <a16:creationId xmlns:a16="http://schemas.microsoft.com/office/drawing/2014/main" id="{B24C6D11-955D-E14E-BB3E-56A5A1434A4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112" name="AutoShape 3" descr="\sigma">
          <a:extLst>
            <a:ext uri="{FF2B5EF4-FFF2-40B4-BE49-F238E27FC236}">
              <a16:creationId xmlns:a16="http://schemas.microsoft.com/office/drawing/2014/main" id="{6ED1CACE-946C-F54B-974D-B478399AACF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113" name="AutoShape 4" descr="\sigma">
          <a:extLst>
            <a:ext uri="{FF2B5EF4-FFF2-40B4-BE49-F238E27FC236}">
              <a16:creationId xmlns:a16="http://schemas.microsoft.com/office/drawing/2014/main" id="{CA06C11B-65F1-7E42-913A-3D0F6BCB0AF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444500</xdr:colOff>
      <xdr:row>17</xdr:row>
      <xdr:rowOff>127000</xdr:rowOff>
    </xdr:from>
    <xdr:to>
      <xdr:col>9</xdr:col>
      <xdr:colOff>482600</xdr:colOff>
      <xdr:row>42</xdr:row>
      <xdr:rowOff>114300</xdr:rowOff>
    </xdr:to>
    <xdr:graphicFrame macro="">
      <xdr:nvGraphicFramePr>
        <xdr:cNvPr id="114" name="Chart 113">
          <a:extLst>
            <a:ext uri="{FF2B5EF4-FFF2-40B4-BE49-F238E27FC236}">
              <a16:creationId xmlns:a16="http://schemas.microsoft.com/office/drawing/2014/main" id="{690B922A-6F9B-EF53-5A2D-AFD389A7C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787400</xdr:colOff>
      <xdr:row>0</xdr:row>
      <xdr:rowOff>101600</xdr:rowOff>
    </xdr:from>
    <xdr:to>
      <xdr:col>27</xdr:col>
      <xdr:colOff>474936</xdr:colOff>
      <xdr:row>25</xdr:row>
      <xdr:rowOff>165100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42521AB4-487E-7A86-4C66-BAEC0AE7B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74600" y="101600"/>
          <a:ext cx="6291536" cy="5143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450850</xdr:colOff>
      <xdr:row>17</xdr:row>
      <xdr:rowOff>190500</xdr:rowOff>
    </xdr:from>
    <xdr:to>
      <xdr:col>12</xdr:col>
      <xdr:colOff>444500</xdr:colOff>
      <xdr:row>46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CC97FD-DD8C-8586-2003-F00752A99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0</xdr:colOff>
      <xdr:row>0</xdr:row>
      <xdr:rowOff>0</xdr:rowOff>
    </xdr:from>
    <xdr:ext cx="304800" cy="304800"/>
    <xdr:sp macro="" textlink="">
      <xdr:nvSpPr>
        <xdr:cNvPr id="2" name="AutoShape 3" descr="\sigma">
          <a:extLst>
            <a:ext uri="{FF2B5EF4-FFF2-40B4-BE49-F238E27FC236}">
              <a16:creationId xmlns:a16="http://schemas.microsoft.com/office/drawing/2014/main" id="{83022767-2D47-4DAC-AA89-B40A16C42CF6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0</xdr:row>
      <xdr:rowOff>0</xdr:rowOff>
    </xdr:from>
    <xdr:ext cx="304800" cy="304800"/>
    <xdr:sp macro="" textlink="">
      <xdr:nvSpPr>
        <xdr:cNvPr id="4" name="AutoShape 4" descr="\sigma">
          <a:extLst>
            <a:ext uri="{FF2B5EF4-FFF2-40B4-BE49-F238E27FC236}">
              <a16:creationId xmlns:a16="http://schemas.microsoft.com/office/drawing/2014/main" id="{4D6467D4-504B-4317-A202-7435D9A724D7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1</xdr:row>
      <xdr:rowOff>101600</xdr:rowOff>
    </xdr:to>
    <xdr:sp macro="" textlink="">
      <xdr:nvSpPr>
        <xdr:cNvPr id="2" name="AutoShape 3" descr="\sigma">
          <a:extLst>
            <a:ext uri="{FF2B5EF4-FFF2-40B4-BE49-F238E27FC236}">
              <a16:creationId xmlns:a16="http://schemas.microsoft.com/office/drawing/2014/main" id="{9808FC6A-A071-7449-82E1-BFC5FFDA5AB7}"/>
            </a:ext>
          </a:extLst>
        </xdr:cNvPr>
        <xdr:cNvSpPr>
          <a:spLocks noChangeAspect="1" noChangeArrowheads="1"/>
        </xdr:cNvSpPr>
      </xdr:nvSpPr>
      <xdr:spPr bwMode="auto">
        <a:xfrm>
          <a:off x="50673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1</xdr:row>
      <xdr:rowOff>101600</xdr:rowOff>
    </xdr:to>
    <xdr:sp macro="" textlink="">
      <xdr:nvSpPr>
        <xdr:cNvPr id="3" name="AutoShape 4" descr="\sigma">
          <a:extLst>
            <a:ext uri="{FF2B5EF4-FFF2-40B4-BE49-F238E27FC236}">
              <a16:creationId xmlns:a16="http://schemas.microsoft.com/office/drawing/2014/main" id="{E02F188E-108C-B548-8E51-FB20287CAB45}"/>
            </a:ext>
          </a:extLst>
        </xdr:cNvPr>
        <xdr:cNvSpPr>
          <a:spLocks noChangeAspect="1" noChangeArrowheads="1"/>
        </xdr:cNvSpPr>
      </xdr:nvSpPr>
      <xdr:spPr bwMode="auto">
        <a:xfrm>
          <a:off x="50673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4" name="AutoShape 3" descr="\sigma">
          <a:extLst>
            <a:ext uri="{FF2B5EF4-FFF2-40B4-BE49-F238E27FC236}">
              <a16:creationId xmlns:a16="http://schemas.microsoft.com/office/drawing/2014/main" id="{99960C59-8CA2-C04E-B1AC-3FA2A58F6912}"/>
            </a:ext>
          </a:extLst>
        </xdr:cNvPr>
        <xdr:cNvSpPr>
          <a:spLocks noChangeAspect="1" noChangeArrowheads="1"/>
        </xdr:cNvSpPr>
      </xdr:nvSpPr>
      <xdr:spPr bwMode="auto">
        <a:xfrm>
          <a:off x="8547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5" name="AutoShape 4" descr="\sigma">
          <a:extLst>
            <a:ext uri="{FF2B5EF4-FFF2-40B4-BE49-F238E27FC236}">
              <a16:creationId xmlns:a16="http://schemas.microsoft.com/office/drawing/2014/main" id="{0224D1F0-76B9-4A4D-86B2-4DDF459862ED}"/>
            </a:ext>
          </a:extLst>
        </xdr:cNvPr>
        <xdr:cNvSpPr>
          <a:spLocks noChangeAspect="1" noChangeArrowheads="1"/>
        </xdr:cNvSpPr>
      </xdr:nvSpPr>
      <xdr:spPr bwMode="auto">
        <a:xfrm>
          <a:off x="8547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6" name="AutoShape 3" descr="\sigma">
          <a:extLst>
            <a:ext uri="{FF2B5EF4-FFF2-40B4-BE49-F238E27FC236}">
              <a16:creationId xmlns:a16="http://schemas.microsoft.com/office/drawing/2014/main" id="{20FA2C65-60A3-1A42-B372-CE692600B56E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7" name="AutoShape 4" descr="\sigma">
          <a:extLst>
            <a:ext uri="{FF2B5EF4-FFF2-40B4-BE49-F238E27FC236}">
              <a16:creationId xmlns:a16="http://schemas.microsoft.com/office/drawing/2014/main" id="{A5A88BA8-F6D9-484B-BFC1-C1C697C24C69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8" name="AutoShape 3" descr="\sigma">
          <a:extLst>
            <a:ext uri="{FF2B5EF4-FFF2-40B4-BE49-F238E27FC236}">
              <a16:creationId xmlns:a16="http://schemas.microsoft.com/office/drawing/2014/main" id="{8BFCAAEC-A82E-AF4A-90CC-96170EDCA44E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9" name="AutoShape 4" descr="\sigma">
          <a:extLst>
            <a:ext uri="{FF2B5EF4-FFF2-40B4-BE49-F238E27FC236}">
              <a16:creationId xmlns:a16="http://schemas.microsoft.com/office/drawing/2014/main" id="{28549F5D-191E-B44B-9DDC-F8E3AA3FDC07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0" name="AutoShape 3" descr="\sigma">
          <a:extLst>
            <a:ext uri="{FF2B5EF4-FFF2-40B4-BE49-F238E27FC236}">
              <a16:creationId xmlns:a16="http://schemas.microsoft.com/office/drawing/2014/main" id="{E443368B-EBAA-674A-9288-033B6D1D5AB3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1" name="AutoShape 4" descr="\sigma">
          <a:extLst>
            <a:ext uri="{FF2B5EF4-FFF2-40B4-BE49-F238E27FC236}">
              <a16:creationId xmlns:a16="http://schemas.microsoft.com/office/drawing/2014/main" id="{D3F7B934-4BA2-0749-B61D-2139B1A00534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2" name="AutoShape 3" descr="\sigma">
          <a:extLst>
            <a:ext uri="{FF2B5EF4-FFF2-40B4-BE49-F238E27FC236}">
              <a16:creationId xmlns:a16="http://schemas.microsoft.com/office/drawing/2014/main" id="{44F323E9-1579-2B46-AEE3-8590B10F6FF6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3" name="AutoShape 4" descr="\sigma">
          <a:extLst>
            <a:ext uri="{FF2B5EF4-FFF2-40B4-BE49-F238E27FC236}">
              <a16:creationId xmlns:a16="http://schemas.microsoft.com/office/drawing/2014/main" id="{158E0E4B-195B-2F46-8EF8-667880751A12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14" name="AutoShape 3" descr="\sigma">
          <a:extLst>
            <a:ext uri="{FF2B5EF4-FFF2-40B4-BE49-F238E27FC236}">
              <a16:creationId xmlns:a16="http://schemas.microsoft.com/office/drawing/2014/main" id="{915CE1F9-8079-9841-B0F7-5050DC0E7700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15" name="AutoShape 4" descr="\sigma">
          <a:extLst>
            <a:ext uri="{FF2B5EF4-FFF2-40B4-BE49-F238E27FC236}">
              <a16:creationId xmlns:a16="http://schemas.microsoft.com/office/drawing/2014/main" id="{D3649CBC-A2C0-B44F-9DE3-90555FCCED53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16" name="AutoShape 3" descr="\sigma">
          <a:extLst>
            <a:ext uri="{FF2B5EF4-FFF2-40B4-BE49-F238E27FC236}">
              <a16:creationId xmlns:a16="http://schemas.microsoft.com/office/drawing/2014/main" id="{9BEF4845-8D46-FE42-8C78-26414B32527D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17" name="AutoShape 4" descr="\sigma">
          <a:extLst>
            <a:ext uri="{FF2B5EF4-FFF2-40B4-BE49-F238E27FC236}">
              <a16:creationId xmlns:a16="http://schemas.microsoft.com/office/drawing/2014/main" id="{C73F5AB6-EDE8-D748-A74D-3A2D77CB2536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18" name="AutoShape 3" descr="\sigma">
          <a:extLst>
            <a:ext uri="{FF2B5EF4-FFF2-40B4-BE49-F238E27FC236}">
              <a16:creationId xmlns:a16="http://schemas.microsoft.com/office/drawing/2014/main" id="{4030135A-D0E1-2E48-8ED9-FB92EC697140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19" name="AutoShape 4" descr="\sigma">
          <a:extLst>
            <a:ext uri="{FF2B5EF4-FFF2-40B4-BE49-F238E27FC236}">
              <a16:creationId xmlns:a16="http://schemas.microsoft.com/office/drawing/2014/main" id="{568AC44D-9738-C94B-91DA-A23AFEFF1AFC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20" name="AutoShape 3" descr="\sigma">
          <a:extLst>
            <a:ext uri="{FF2B5EF4-FFF2-40B4-BE49-F238E27FC236}">
              <a16:creationId xmlns:a16="http://schemas.microsoft.com/office/drawing/2014/main" id="{E81E5BA5-AEB7-7747-8DA9-7E187C5558F0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21" name="AutoShape 4" descr="\sigma">
          <a:extLst>
            <a:ext uri="{FF2B5EF4-FFF2-40B4-BE49-F238E27FC236}">
              <a16:creationId xmlns:a16="http://schemas.microsoft.com/office/drawing/2014/main" id="{9C3294A2-BC27-D14D-AB56-E2A95A11DE9B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2" name="AutoShape 3" descr="\sigma">
          <a:extLst>
            <a:ext uri="{FF2B5EF4-FFF2-40B4-BE49-F238E27FC236}">
              <a16:creationId xmlns:a16="http://schemas.microsoft.com/office/drawing/2014/main" id="{BAADD3E9-1B2F-A744-A178-9210BED283D9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3" name="AutoShape 4" descr="\sigma">
          <a:extLst>
            <a:ext uri="{FF2B5EF4-FFF2-40B4-BE49-F238E27FC236}">
              <a16:creationId xmlns:a16="http://schemas.microsoft.com/office/drawing/2014/main" id="{C776B8FC-695F-C642-8540-50C64C080569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4" name="AutoShape 3" descr="\sigma">
          <a:extLst>
            <a:ext uri="{FF2B5EF4-FFF2-40B4-BE49-F238E27FC236}">
              <a16:creationId xmlns:a16="http://schemas.microsoft.com/office/drawing/2014/main" id="{D55D907A-0B9F-5149-AAEC-4C7C10D84001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25" name="AutoShape 4" descr="\sigma">
          <a:extLst>
            <a:ext uri="{FF2B5EF4-FFF2-40B4-BE49-F238E27FC236}">
              <a16:creationId xmlns:a16="http://schemas.microsoft.com/office/drawing/2014/main" id="{0C0B2653-C5C9-3E45-B948-5B7A136FE921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6" name="AutoShape 3" descr="\sigma">
          <a:extLst>
            <a:ext uri="{FF2B5EF4-FFF2-40B4-BE49-F238E27FC236}">
              <a16:creationId xmlns:a16="http://schemas.microsoft.com/office/drawing/2014/main" id="{CE532AC3-3271-944F-B084-8B1A2DCBEA76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7" name="AutoShape 4" descr="\sigma">
          <a:extLst>
            <a:ext uri="{FF2B5EF4-FFF2-40B4-BE49-F238E27FC236}">
              <a16:creationId xmlns:a16="http://schemas.microsoft.com/office/drawing/2014/main" id="{15C9DCC6-E90F-CE4F-B6B9-46B22BC16DD6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8" name="AutoShape 3" descr="\sigma">
          <a:extLst>
            <a:ext uri="{FF2B5EF4-FFF2-40B4-BE49-F238E27FC236}">
              <a16:creationId xmlns:a16="http://schemas.microsoft.com/office/drawing/2014/main" id="{403BC4F1-F8AA-654D-B43F-DFB9E6DE96CF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29" name="AutoShape 4" descr="\sigma">
          <a:extLst>
            <a:ext uri="{FF2B5EF4-FFF2-40B4-BE49-F238E27FC236}">
              <a16:creationId xmlns:a16="http://schemas.microsoft.com/office/drawing/2014/main" id="{9B98FB9D-AEC0-C94E-BFD3-0DE17B3D1137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30" name="AutoShape 3" descr="\sigma">
          <a:extLst>
            <a:ext uri="{FF2B5EF4-FFF2-40B4-BE49-F238E27FC236}">
              <a16:creationId xmlns:a16="http://schemas.microsoft.com/office/drawing/2014/main" id="{CE3299A5-32CE-084C-8C5A-828E56B3463B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31" name="AutoShape 4" descr="\sigma">
          <a:extLst>
            <a:ext uri="{FF2B5EF4-FFF2-40B4-BE49-F238E27FC236}">
              <a16:creationId xmlns:a16="http://schemas.microsoft.com/office/drawing/2014/main" id="{CA0F62ED-B6F0-7242-922E-49FCAC5C3670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32" name="AutoShape 3" descr="\sigma">
          <a:extLst>
            <a:ext uri="{FF2B5EF4-FFF2-40B4-BE49-F238E27FC236}">
              <a16:creationId xmlns:a16="http://schemas.microsoft.com/office/drawing/2014/main" id="{340F2187-5DEB-3445-923F-3AA633325CD3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33" name="AutoShape 4" descr="\sigma">
          <a:extLst>
            <a:ext uri="{FF2B5EF4-FFF2-40B4-BE49-F238E27FC236}">
              <a16:creationId xmlns:a16="http://schemas.microsoft.com/office/drawing/2014/main" id="{5D169132-66A9-0F41-878F-89E922E30469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34" name="AutoShape 3" descr="\sigma">
          <a:extLst>
            <a:ext uri="{FF2B5EF4-FFF2-40B4-BE49-F238E27FC236}">
              <a16:creationId xmlns:a16="http://schemas.microsoft.com/office/drawing/2014/main" id="{62D0C0A7-6A0C-6946-8390-E4E9D31F1A3B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35" name="AutoShape 4" descr="\sigma">
          <a:extLst>
            <a:ext uri="{FF2B5EF4-FFF2-40B4-BE49-F238E27FC236}">
              <a16:creationId xmlns:a16="http://schemas.microsoft.com/office/drawing/2014/main" id="{A50DEF13-A17D-F841-9B93-358E59800BFF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36" name="AutoShape 3" descr="\sigma">
          <a:extLst>
            <a:ext uri="{FF2B5EF4-FFF2-40B4-BE49-F238E27FC236}">
              <a16:creationId xmlns:a16="http://schemas.microsoft.com/office/drawing/2014/main" id="{C48892C3-C173-4543-9C69-E9B0CF69D4E6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37" name="AutoShape 4" descr="\sigma">
          <a:extLst>
            <a:ext uri="{FF2B5EF4-FFF2-40B4-BE49-F238E27FC236}">
              <a16:creationId xmlns:a16="http://schemas.microsoft.com/office/drawing/2014/main" id="{6F6895AF-7B21-4B4A-934B-75396371F358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38" name="AutoShape 3" descr="\sigma">
          <a:extLst>
            <a:ext uri="{FF2B5EF4-FFF2-40B4-BE49-F238E27FC236}">
              <a16:creationId xmlns:a16="http://schemas.microsoft.com/office/drawing/2014/main" id="{0B213355-C3D0-4C45-9C13-C62E64790AA6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39" name="AutoShape 4" descr="\sigma">
          <a:extLst>
            <a:ext uri="{FF2B5EF4-FFF2-40B4-BE49-F238E27FC236}">
              <a16:creationId xmlns:a16="http://schemas.microsoft.com/office/drawing/2014/main" id="{3F0ACA46-6633-2745-BA72-AC0BDDEAC490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40" name="AutoShape 3" descr="\sigma">
          <a:extLst>
            <a:ext uri="{FF2B5EF4-FFF2-40B4-BE49-F238E27FC236}">
              <a16:creationId xmlns:a16="http://schemas.microsoft.com/office/drawing/2014/main" id="{FDF3865E-F01E-D242-A0EF-8347D5502F23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41" name="AutoShape 4" descr="\sigma">
          <a:extLst>
            <a:ext uri="{FF2B5EF4-FFF2-40B4-BE49-F238E27FC236}">
              <a16:creationId xmlns:a16="http://schemas.microsoft.com/office/drawing/2014/main" id="{2736C8EE-FDCC-A34E-BECE-BE346AE17455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42" name="AutoShape 3" descr="\sigma">
          <a:extLst>
            <a:ext uri="{FF2B5EF4-FFF2-40B4-BE49-F238E27FC236}">
              <a16:creationId xmlns:a16="http://schemas.microsoft.com/office/drawing/2014/main" id="{95EE6038-3A55-2E46-A038-282377FA8F36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43" name="AutoShape 4" descr="\sigma">
          <a:extLst>
            <a:ext uri="{FF2B5EF4-FFF2-40B4-BE49-F238E27FC236}">
              <a16:creationId xmlns:a16="http://schemas.microsoft.com/office/drawing/2014/main" id="{F5BF062C-3165-1845-88DB-D622DFE2BADC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44" name="AutoShape 3" descr="\sigma">
          <a:extLst>
            <a:ext uri="{FF2B5EF4-FFF2-40B4-BE49-F238E27FC236}">
              <a16:creationId xmlns:a16="http://schemas.microsoft.com/office/drawing/2014/main" id="{EBCE26D0-61E1-7349-95F9-11DC93E60971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45" name="AutoShape 4" descr="\sigma">
          <a:extLst>
            <a:ext uri="{FF2B5EF4-FFF2-40B4-BE49-F238E27FC236}">
              <a16:creationId xmlns:a16="http://schemas.microsoft.com/office/drawing/2014/main" id="{6236FAF3-6393-7B44-B6CC-77336C3DB9A2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46" name="AutoShape 3" descr="\sigma">
          <a:extLst>
            <a:ext uri="{FF2B5EF4-FFF2-40B4-BE49-F238E27FC236}">
              <a16:creationId xmlns:a16="http://schemas.microsoft.com/office/drawing/2014/main" id="{36315F4B-CCF6-C548-A986-D2234CA9AFC0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47" name="AutoShape 4" descr="\sigma">
          <a:extLst>
            <a:ext uri="{FF2B5EF4-FFF2-40B4-BE49-F238E27FC236}">
              <a16:creationId xmlns:a16="http://schemas.microsoft.com/office/drawing/2014/main" id="{85B0C641-341A-1647-9779-26FDC3C5CCC1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48" name="AutoShape 3" descr="\sigma">
          <a:extLst>
            <a:ext uri="{FF2B5EF4-FFF2-40B4-BE49-F238E27FC236}">
              <a16:creationId xmlns:a16="http://schemas.microsoft.com/office/drawing/2014/main" id="{D9A6BB9E-B1D1-4F47-8419-41CD5A02C05A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49" name="AutoShape 4" descr="\sigma">
          <a:extLst>
            <a:ext uri="{FF2B5EF4-FFF2-40B4-BE49-F238E27FC236}">
              <a16:creationId xmlns:a16="http://schemas.microsoft.com/office/drawing/2014/main" id="{5C438D1F-5A8E-674C-8847-E2A441061FE4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50" name="AutoShape 3" descr="\sigma">
          <a:extLst>
            <a:ext uri="{FF2B5EF4-FFF2-40B4-BE49-F238E27FC236}">
              <a16:creationId xmlns:a16="http://schemas.microsoft.com/office/drawing/2014/main" id="{AA2272FE-3F1E-5D44-9648-BC9CB7518CD0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51" name="AutoShape 4" descr="\sigma">
          <a:extLst>
            <a:ext uri="{FF2B5EF4-FFF2-40B4-BE49-F238E27FC236}">
              <a16:creationId xmlns:a16="http://schemas.microsoft.com/office/drawing/2014/main" id="{F8A8F1D3-3A7C-194F-A434-EE14A0AE9525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52" name="AutoShape 3" descr="\sigma">
          <a:extLst>
            <a:ext uri="{FF2B5EF4-FFF2-40B4-BE49-F238E27FC236}">
              <a16:creationId xmlns:a16="http://schemas.microsoft.com/office/drawing/2014/main" id="{35260960-137F-DD4E-8E11-3B5E2B19BDA9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53" name="AutoShape 4" descr="\sigma">
          <a:extLst>
            <a:ext uri="{FF2B5EF4-FFF2-40B4-BE49-F238E27FC236}">
              <a16:creationId xmlns:a16="http://schemas.microsoft.com/office/drawing/2014/main" id="{2E888BF5-80F4-AB4A-AE36-69B1F82E5B39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54" name="AutoShape 3" descr="\sigma">
          <a:extLst>
            <a:ext uri="{FF2B5EF4-FFF2-40B4-BE49-F238E27FC236}">
              <a16:creationId xmlns:a16="http://schemas.microsoft.com/office/drawing/2014/main" id="{9106DF06-EBAF-DE4A-B830-971C91D99B96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55" name="AutoShape 4" descr="\sigma">
          <a:extLst>
            <a:ext uri="{FF2B5EF4-FFF2-40B4-BE49-F238E27FC236}">
              <a16:creationId xmlns:a16="http://schemas.microsoft.com/office/drawing/2014/main" id="{B6768919-E6E5-9C4F-98E3-6F090874B375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56" name="AutoShape 3" descr="\sigma">
          <a:extLst>
            <a:ext uri="{FF2B5EF4-FFF2-40B4-BE49-F238E27FC236}">
              <a16:creationId xmlns:a16="http://schemas.microsoft.com/office/drawing/2014/main" id="{5FE4A12A-3CCF-C34D-BD46-B0D01AF106EE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57" name="AutoShape 4" descr="\sigma">
          <a:extLst>
            <a:ext uri="{FF2B5EF4-FFF2-40B4-BE49-F238E27FC236}">
              <a16:creationId xmlns:a16="http://schemas.microsoft.com/office/drawing/2014/main" id="{C3AF3862-B0FE-C540-AD3C-E947DAECB3A7}"/>
            </a:ext>
          </a:extLst>
        </xdr:cNvPr>
        <xdr:cNvSpPr>
          <a:spLocks noChangeAspect="1" noChangeArrowheads="1"/>
        </xdr:cNvSpPr>
      </xdr:nvSpPr>
      <xdr:spPr bwMode="auto">
        <a:xfrm>
          <a:off x="4699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58" name="AutoShape 3" descr="\sigma">
          <a:extLst>
            <a:ext uri="{FF2B5EF4-FFF2-40B4-BE49-F238E27FC236}">
              <a16:creationId xmlns:a16="http://schemas.microsoft.com/office/drawing/2014/main" id="{90D16A8A-B8EF-324C-9097-78D82FA50686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59" name="AutoShape 4" descr="\sigma">
          <a:extLst>
            <a:ext uri="{FF2B5EF4-FFF2-40B4-BE49-F238E27FC236}">
              <a16:creationId xmlns:a16="http://schemas.microsoft.com/office/drawing/2014/main" id="{D46F9A9F-B072-E149-8391-C58A34CE2C02}"/>
            </a:ext>
          </a:extLst>
        </xdr:cNvPr>
        <xdr:cNvSpPr>
          <a:spLocks noChangeAspect="1" noChangeArrowheads="1"/>
        </xdr:cNvSpPr>
      </xdr:nvSpPr>
      <xdr:spPr bwMode="auto">
        <a:xfrm>
          <a:off x="4699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11</xdr:col>
      <xdr:colOff>762000</xdr:colOff>
      <xdr:row>18</xdr:row>
      <xdr:rowOff>50800</xdr:rowOff>
    </xdr:from>
    <xdr:to>
      <xdr:col>22</xdr:col>
      <xdr:colOff>533400</xdr:colOff>
      <xdr:row>42</xdr:row>
      <xdr:rowOff>114300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1FAFDE64-D7C2-20F9-365B-AB4320461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17" name="AutoShape 3" descr="\sigma">
          <a:extLst>
            <a:ext uri="{FF2B5EF4-FFF2-40B4-BE49-F238E27FC236}">
              <a16:creationId xmlns:a16="http://schemas.microsoft.com/office/drawing/2014/main" id="{12AB57E8-CDBC-CD43-AE78-F248D7E90AEC}"/>
            </a:ext>
          </a:extLst>
        </xdr:cNvPr>
        <xdr:cNvSpPr>
          <a:spLocks noChangeAspect="1" noChangeArrowheads="1"/>
        </xdr:cNvSpPr>
      </xdr:nvSpPr>
      <xdr:spPr bwMode="auto">
        <a:xfrm>
          <a:off x="4483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18" name="AutoShape 4" descr="\sigma">
          <a:extLst>
            <a:ext uri="{FF2B5EF4-FFF2-40B4-BE49-F238E27FC236}">
              <a16:creationId xmlns:a16="http://schemas.microsoft.com/office/drawing/2014/main" id="{2AF894C6-5383-B34D-B5EC-A3F4E110FE22}"/>
            </a:ext>
          </a:extLst>
        </xdr:cNvPr>
        <xdr:cNvSpPr>
          <a:spLocks noChangeAspect="1" noChangeArrowheads="1"/>
        </xdr:cNvSpPr>
      </xdr:nvSpPr>
      <xdr:spPr bwMode="auto">
        <a:xfrm>
          <a:off x="4483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19" name="AutoShape 3" descr="\sigma">
          <a:extLst>
            <a:ext uri="{FF2B5EF4-FFF2-40B4-BE49-F238E27FC236}">
              <a16:creationId xmlns:a16="http://schemas.microsoft.com/office/drawing/2014/main" id="{2D710ADC-313D-F948-884F-5C6836FA44E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20" name="AutoShape 4" descr="\sigma">
          <a:extLst>
            <a:ext uri="{FF2B5EF4-FFF2-40B4-BE49-F238E27FC236}">
              <a16:creationId xmlns:a16="http://schemas.microsoft.com/office/drawing/2014/main" id="{3FA002CA-F380-F544-8B35-92A7EF2EE45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21" name="AutoShape 3" descr="\sigma">
          <a:extLst>
            <a:ext uri="{FF2B5EF4-FFF2-40B4-BE49-F238E27FC236}">
              <a16:creationId xmlns:a16="http://schemas.microsoft.com/office/drawing/2014/main" id="{24F4E0C3-35A5-0448-8E71-15B35759C954}"/>
            </a:ext>
          </a:extLst>
        </xdr:cNvPr>
        <xdr:cNvSpPr>
          <a:spLocks noChangeAspect="1" noChangeArrowheads="1"/>
        </xdr:cNvSpPr>
      </xdr:nvSpPr>
      <xdr:spPr bwMode="auto">
        <a:xfrm>
          <a:off x="44831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22" name="AutoShape 4" descr="\sigma">
          <a:extLst>
            <a:ext uri="{FF2B5EF4-FFF2-40B4-BE49-F238E27FC236}">
              <a16:creationId xmlns:a16="http://schemas.microsoft.com/office/drawing/2014/main" id="{2F3716D3-976B-FF4F-9D09-4A442DC4D1F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23" name="AutoShape 3" descr="\sigma">
          <a:extLst>
            <a:ext uri="{FF2B5EF4-FFF2-40B4-BE49-F238E27FC236}">
              <a16:creationId xmlns:a16="http://schemas.microsoft.com/office/drawing/2014/main" id="{78B0DDEF-8099-804F-A400-6C7BF34EB50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24" name="AutoShape 4" descr="\sigma">
          <a:extLst>
            <a:ext uri="{FF2B5EF4-FFF2-40B4-BE49-F238E27FC236}">
              <a16:creationId xmlns:a16="http://schemas.microsoft.com/office/drawing/2014/main" id="{AE332611-1339-534E-822F-38516ACC073D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25" name="AutoShape 3" descr="\sigma">
          <a:extLst>
            <a:ext uri="{FF2B5EF4-FFF2-40B4-BE49-F238E27FC236}">
              <a16:creationId xmlns:a16="http://schemas.microsoft.com/office/drawing/2014/main" id="{0CFED35B-DCF4-B441-9D7F-B96D7B27E2DC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26" name="AutoShape 4" descr="\sigma">
          <a:extLst>
            <a:ext uri="{FF2B5EF4-FFF2-40B4-BE49-F238E27FC236}">
              <a16:creationId xmlns:a16="http://schemas.microsoft.com/office/drawing/2014/main" id="{8C2459DC-231F-7449-A965-D9B532BBD53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26</xdr:row>
      <xdr:rowOff>0</xdr:rowOff>
    </xdr:from>
    <xdr:ext cx="304800" cy="304800"/>
    <xdr:sp macro="" textlink="">
      <xdr:nvSpPr>
        <xdr:cNvPr id="127" name="AutoShape 3" descr="\sigma">
          <a:extLst>
            <a:ext uri="{FF2B5EF4-FFF2-40B4-BE49-F238E27FC236}">
              <a16:creationId xmlns:a16="http://schemas.microsoft.com/office/drawing/2014/main" id="{AECA16C3-6F66-0F4D-AC23-3FD49B0D6333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26</xdr:row>
      <xdr:rowOff>0</xdr:rowOff>
    </xdr:from>
    <xdr:ext cx="304800" cy="304800"/>
    <xdr:sp macro="" textlink="">
      <xdr:nvSpPr>
        <xdr:cNvPr id="128" name="AutoShape 4" descr="\sigma">
          <a:extLst>
            <a:ext uri="{FF2B5EF4-FFF2-40B4-BE49-F238E27FC236}">
              <a16:creationId xmlns:a16="http://schemas.microsoft.com/office/drawing/2014/main" id="{7B85F2AE-7F9F-D745-9683-DB76F0AD753F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26</xdr:row>
      <xdr:rowOff>0</xdr:rowOff>
    </xdr:from>
    <xdr:ext cx="304800" cy="304800"/>
    <xdr:sp macro="" textlink="">
      <xdr:nvSpPr>
        <xdr:cNvPr id="129" name="AutoShape 3" descr="\sigma">
          <a:extLst>
            <a:ext uri="{FF2B5EF4-FFF2-40B4-BE49-F238E27FC236}">
              <a16:creationId xmlns:a16="http://schemas.microsoft.com/office/drawing/2014/main" id="{5DAF6EDC-AD94-EA45-833C-D4E09FE599A4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26</xdr:row>
      <xdr:rowOff>0</xdr:rowOff>
    </xdr:from>
    <xdr:ext cx="304800" cy="304800"/>
    <xdr:sp macro="" textlink="">
      <xdr:nvSpPr>
        <xdr:cNvPr id="130" name="AutoShape 4" descr="\sigma">
          <a:extLst>
            <a:ext uri="{FF2B5EF4-FFF2-40B4-BE49-F238E27FC236}">
              <a16:creationId xmlns:a16="http://schemas.microsoft.com/office/drawing/2014/main" id="{14FB42A6-3370-8840-8018-E6A32AFDB17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</xdr:row>
      <xdr:rowOff>0</xdr:rowOff>
    </xdr:from>
    <xdr:ext cx="304800" cy="304800"/>
    <xdr:sp macro="" textlink="">
      <xdr:nvSpPr>
        <xdr:cNvPr id="131" name="AutoShape 3" descr="\sigma">
          <a:extLst>
            <a:ext uri="{FF2B5EF4-FFF2-40B4-BE49-F238E27FC236}">
              <a16:creationId xmlns:a16="http://schemas.microsoft.com/office/drawing/2014/main" id="{11D613C0-E12A-9746-848F-4E142E99F2B1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</xdr:row>
      <xdr:rowOff>0</xdr:rowOff>
    </xdr:from>
    <xdr:ext cx="304800" cy="304800"/>
    <xdr:sp macro="" textlink="">
      <xdr:nvSpPr>
        <xdr:cNvPr id="132" name="AutoShape 4" descr="\sigma">
          <a:extLst>
            <a:ext uri="{FF2B5EF4-FFF2-40B4-BE49-F238E27FC236}">
              <a16:creationId xmlns:a16="http://schemas.microsoft.com/office/drawing/2014/main" id="{9B4054B4-B254-B047-BE68-EF211118E89D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</xdr:row>
      <xdr:rowOff>0</xdr:rowOff>
    </xdr:from>
    <xdr:ext cx="304800" cy="304800"/>
    <xdr:sp macro="" textlink="">
      <xdr:nvSpPr>
        <xdr:cNvPr id="133" name="AutoShape 3" descr="\sigma">
          <a:extLst>
            <a:ext uri="{FF2B5EF4-FFF2-40B4-BE49-F238E27FC236}">
              <a16:creationId xmlns:a16="http://schemas.microsoft.com/office/drawing/2014/main" id="{7515AE70-B29B-1043-9026-061DF346CD8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</xdr:row>
      <xdr:rowOff>0</xdr:rowOff>
    </xdr:from>
    <xdr:ext cx="304800" cy="304800"/>
    <xdr:sp macro="" textlink="">
      <xdr:nvSpPr>
        <xdr:cNvPr id="134" name="AutoShape 4" descr="\sigma">
          <a:extLst>
            <a:ext uri="{FF2B5EF4-FFF2-40B4-BE49-F238E27FC236}">
              <a16:creationId xmlns:a16="http://schemas.microsoft.com/office/drawing/2014/main" id="{AD47FE40-948B-9F4B-A9FF-2358FFDDCC8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</xdr:row>
      <xdr:rowOff>0</xdr:rowOff>
    </xdr:from>
    <xdr:ext cx="304800" cy="304800"/>
    <xdr:sp macro="" textlink="">
      <xdr:nvSpPr>
        <xdr:cNvPr id="135" name="AutoShape 3" descr="\sigma">
          <a:extLst>
            <a:ext uri="{FF2B5EF4-FFF2-40B4-BE49-F238E27FC236}">
              <a16:creationId xmlns:a16="http://schemas.microsoft.com/office/drawing/2014/main" id="{CC43D11F-A306-B34D-9BFF-03D08CB6529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</xdr:row>
      <xdr:rowOff>0</xdr:rowOff>
    </xdr:from>
    <xdr:ext cx="304800" cy="304800"/>
    <xdr:sp macro="" textlink="">
      <xdr:nvSpPr>
        <xdr:cNvPr id="136" name="AutoShape 4" descr="\sigma">
          <a:extLst>
            <a:ext uri="{FF2B5EF4-FFF2-40B4-BE49-F238E27FC236}">
              <a16:creationId xmlns:a16="http://schemas.microsoft.com/office/drawing/2014/main" id="{18817FDF-59CC-7E4F-8DCD-2DCF4382DEEC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</xdr:row>
      <xdr:rowOff>0</xdr:rowOff>
    </xdr:from>
    <xdr:ext cx="304800" cy="304800"/>
    <xdr:sp macro="" textlink="">
      <xdr:nvSpPr>
        <xdr:cNvPr id="137" name="AutoShape 3" descr="\sigma">
          <a:extLst>
            <a:ext uri="{FF2B5EF4-FFF2-40B4-BE49-F238E27FC236}">
              <a16:creationId xmlns:a16="http://schemas.microsoft.com/office/drawing/2014/main" id="{D95901D6-2CB4-844C-B750-1B0774BD1BB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</xdr:row>
      <xdr:rowOff>0</xdr:rowOff>
    </xdr:from>
    <xdr:ext cx="304800" cy="304800"/>
    <xdr:sp macro="" textlink="">
      <xdr:nvSpPr>
        <xdr:cNvPr id="138" name="AutoShape 4" descr="\sigma">
          <a:extLst>
            <a:ext uri="{FF2B5EF4-FFF2-40B4-BE49-F238E27FC236}">
              <a16:creationId xmlns:a16="http://schemas.microsoft.com/office/drawing/2014/main" id="{B086DCDB-8E95-234A-B8A5-4AD553103CC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800"/>
    <xdr:sp macro="" textlink="">
      <xdr:nvSpPr>
        <xdr:cNvPr id="139" name="AutoShape 3" descr="\sigma">
          <a:extLst>
            <a:ext uri="{FF2B5EF4-FFF2-40B4-BE49-F238E27FC236}">
              <a16:creationId xmlns:a16="http://schemas.microsoft.com/office/drawing/2014/main" id="{F33A331C-CD99-3F4D-A4C7-44945DA3A09D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800"/>
    <xdr:sp macro="" textlink="">
      <xdr:nvSpPr>
        <xdr:cNvPr id="140" name="AutoShape 4" descr="\sigma">
          <a:extLst>
            <a:ext uri="{FF2B5EF4-FFF2-40B4-BE49-F238E27FC236}">
              <a16:creationId xmlns:a16="http://schemas.microsoft.com/office/drawing/2014/main" id="{1EE96723-79C3-D047-B909-9BF57C4274D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800"/>
    <xdr:sp macro="" textlink="">
      <xdr:nvSpPr>
        <xdr:cNvPr id="141" name="AutoShape 3" descr="\sigma">
          <a:extLst>
            <a:ext uri="{FF2B5EF4-FFF2-40B4-BE49-F238E27FC236}">
              <a16:creationId xmlns:a16="http://schemas.microsoft.com/office/drawing/2014/main" id="{38A1EC67-0A9E-4644-8BCC-75B56770DF2D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800"/>
    <xdr:sp macro="" textlink="">
      <xdr:nvSpPr>
        <xdr:cNvPr id="142" name="AutoShape 4" descr="\sigma">
          <a:extLst>
            <a:ext uri="{FF2B5EF4-FFF2-40B4-BE49-F238E27FC236}">
              <a16:creationId xmlns:a16="http://schemas.microsoft.com/office/drawing/2014/main" id="{A89C8B97-CFAF-B646-A684-75A0023F7E9B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143" name="AutoShape 3" descr="\sigma">
          <a:extLst>
            <a:ext uri="{FF2B5EF4-FFF2-40B4-BE49-F238E27FC236}">
              <a16:creationId xmlns:a16="http://schemas.microsoft.com/office/drawing/2014/main" id="{70020A38-5FAA-8645-9F83-0E9E513FBD7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144" name="AutoShape 4" descr="\sigma">
          <a:extLst>
            <a:ext uri="{FF2B5EF4-FFF2-40B4-BE49-F238E27FC236}">
              <a16:creationId xmlns:a16="http://schemas.microsoft.com/office/drawing/2014/main" id="{0D846340-5D5F-0341-8CA9-64C950CEC65D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145" name="AutoShape 3" descr="\sigma">
          <a:extLst>
            <a:ext uri="{FF2B5EF4-FFF2-40B4-BE49-F238E27FC236}">
              <a16:creationId xmlns:a16="http://schemas.microsoft.com/office/drawing/2014/main" id="{87D773BC-4535-E541-81D8-5E83FC61E342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146" name="AutoShape 4" descr="\sigma">
          <a:extLst>
            <a:ext uri="{FF2B5EF4-FFF2-40B4-BE49-F238E27FC236}">
              <a16:creationId xmlns:a16="http://schemas.microsoft.com/office/drawing/2014/main" id="{44F6489F-C3F3-5240-A3E4-BF7F8E964B9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147" name="AutoShape 3" descr="\sigma">
          <a:extLst>
            <a:ext uri="{FF2B5EF4-FFF2-40B4-BE49-F238E27FC236}">
              <a16:creationId xmlns:a16="http://schemas.microsoft.com/office/drawing/2014/main" id="{DD622A88-13D5-8A4D-9506-8EAE893CC93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148" name="AutoShape 4" descr="\sigma">
          <a:extLst>
            <a:ext uri="{FF2B5EF4-FFF2-40B4-BE49-F238E27FC236}">
              <a16:creationId xmlns:a16="http://schemas.microsoft.com/office/drawing/2014/main" id="{3451B76B-2118-F948-9C61-F6DAC89615E2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149" name="AutoShape 3" descr="\sigma">
          <a:extLst>
            <a:ext uri="{FF2B5EF4-FFF2-40B4-BE49-F238E27FC236}">
              <a16:creationId xmlns:a16="http://schemas.microsoft.com/office/drawing/2014/main" id="{EF1D7BF2-AA81-BF4F-8CA6-313332139E1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150" name="AutoShape 4" descr="\sigma">
          <a:extLst>
            <a:ext uri="{FF2B5EF4-FFF2-40B4-BE49-F238E27FC236}">
              <a16:creationId xmlns:a16="http://schemas.microsoft.com/office/drawing/2014/main" id="{4775552E-4AE2-484C-A0C2-BA765D56AC81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151" name="AutoShape 3" descr="\sigma">
          <a:extLst>
            <a:ext uri="{FF2B5EF4-FFF2-40B4-BE49-F238E27FC236}">
              <a16:creationId xmlns:a16="http://schemas.microsoft.com/office/drawing/2014/main" id="{2D6A144B-4BD5-9E41-8AD1-FE6F381C2A4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152" name="AutoShape 4" descr="\sigma">
          <a:extLst>
            <a:ext uri="{FF2B5EF4-FFF2-40B4-BE49-F238E27FC236}">
              <a16:creationId xmlns:a16="http://schemas.microsoft.com/office/drawing/2014/main" id="{893BA051-3FF8-8546-9896-18118A65125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153" name="AutoShape 3" descr="\sigma">
          <a:extLst>
            <a:ext uri="{FF2B5EF4-FFF2-40B4-BE49-F238E27FC236}">
              <a16:creationId xmlns:a16="http://schemas.microsoft.com/office/drawing/2014/main" id="{7AF1154C-BF82-8840-8A8C-21B96404E92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154" name="AutoShape 4" descr="\sigma">
          <a:extLst>
            <a:ext uri="{FF2B5EF4-FFF2-40B4-BE49-F238E27FC236}">
              <a16:creationId xmlns:a16="http://schemas.microsoft.com/office/drawing/2014/main" id="{C89DF31C-CC51-8240-B9D1-171D42671C1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155" name="AutoShape 3" descr="\sigma">
          <a:extLst>
            <a:ext uri="{FF2B5EF4-FFF2-40B4-BE49-F238E27FC236}">
              <a16:creationId xmlns:a16="http://schemas.microsoft.com/office/drawing/2014/main" id="{0CC96D80-9FB7-6046-9451-52F0FC1E74D2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156" name="AutoShape 4" descr="\sigma">
          <a:extLst>
            <a:ext uri="{FF2B5EF4-FFF2-40B4-BE49-F238E27FC236}">
              <a16:creationId xmlns:a16="http://schemas.microsoft.com/office/drawing/2014/main" id="{8565CC13-4F29-2547-B592-2D1340D32974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157" name="AutoShape 3" descr="\sigma">
          <a:extLst>
            <a:ext uri="{FF2B5EF4-FFF2-40B4-BE49-F238E27FC236}">
              <a16:creationId xmlns:a16="http://schemas.microsoft.com/office/drawing/2014/main" id="{E9A5E61A-33F8-B244-B652-EDD8512AC10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158" name="AutoShape 4" descr="\sigma">
          <a:extLst>
            <a:ext uri="{FF2B5EF4-FFF2-40B4-BE49-F238E27FC236}">
              <a16:creationId xmlns:a16="http://schemas.microsoft.com/office/drawing/2014/main" id="{74589A5A-E8E3-F145-BED4-6BAF5FC8A82F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304800"/>
    <xdr:sp macro="" textlink="">
      <xdr:nvSpPr>
        <xdr:cNvPr id="159" name="AutoShape 3" descr="\sigma">
          <a:extLst>
            <a:ext uri="{FF2B5EF4-FFF2-40B4-BE49-F238E27FC236}">
              <a16:creationId xmlns:a16="http://schemas.microsoft.com/office/drawing/2014/main" id="{61E4C637-5092-0144-A83F-9125D8436BE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304800"/>
    <xdr:sp macro="" textlink="">
      <xdr:nvSpPr>
        <xdr:cNvPr id="160" name="AutoShape 4" descr="\sigma">
          <a:extLst>
            <a:ext uri="{FF2B5EF4-FFF2-40B4-BE49-F238E27FC236}">
              <a16:creationId xmlns:a16="http://schemas.microsoft.com/office/drawing/2014/main" id="{57F60D19-EFF0-2F45-B5A6-2AFA942CEA8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304800"/>
    <xdr:sp macro="" textlink="">
      <xdr:nvSpPr>
        <xdr:cNvPr id="161" name="AutoShape 3" descr="\sigma">
          <a:extLst>
            <a:ext uri="{FF2B5EF4-FFF2-40B4-BE49-F238E27FC236}">
              <a16:creationId xmlns:a16="http://schemas.microsoft.com/office/drawing/2014/main" id="{59E11AC0-CD18-7D4D-95FE-F109A867D194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304800"/>
    <xdr:sp macro="" textlink="">
      <xdr:nvSpPr>
        <xdr:cNvPr id="162" name="AutoShape 4" descr="\sigma">
          <a:extLst>
            <a:ext uri="{FF2B5EF4-FFF2-40B4-BE49-F238E27FC236}">
              <a16:creationId xmlns:a16="http://schemas.microsoft.com/office/drawing/2014/main" id="{1B20F7A5-6448-694A-B0A5-5FD9E248C0DF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</xdr:row>
      <xdr:rowOff>0</xdr:rowOff>
    </xdr:from>
    <xdr:ext cx="304800" cy="304800"/>
    <xdr:sp macro="" textlink="">
      <xdr:nvSpPr>
        <xdr:cNvPr id="163" name="AutoShape 3" descr="\sigma">
          <a:extLst>
            <a:ext uri="{FF2B5EF4-FFF2-40B4-BE49-F238E27FC236}">
              <a16:creationId xmlns:a16="http://schemas.microsoft.com/office/drawing/2014/main" id="{EAF4853F-A090-F641-BC5A-C63C75524C3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</xdr:row>
      <xdr:rowOff>0</xdr:rowOff>
    </xdr:from>
    <xdr:ext cx="304800" cy="304800"/>
    <xdr:sp macro="" textlink="">
      <xdr:nvSpPr>
        <xdr:cNvPr id="164" name="AutoShape 4" descr="\sigma">
          <a:extLst>
            <a:ext uri="{FF2B5EF4-FFF2-40B4-BE49-F238E27FC236}">
              <a16:creationId xmlns:a16="http://schemas.microsoft.com/office/drawing/2014/main" id="{9BBC6C05-422C-A14C-8E3E-75D955B31FA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</xdr:row>
      <xdr:rowOff>0</xdr:rowOff>
    </xdr:from>
    <xdr:ext cx="304800" cy="304800"/>
    <xdr:sp macro="" textlink="">
      <xdr:nvSpPr>
        <xdr:cNvPr id="165" name="AutoShape 3" descr="\sigma">
          <a:extLst>
            <a:ext uri="{FF2B5EF4-FFF2-40B4-BE49-F238E27FC236}">
              <a16:creationId xmlns:a16="http://schemas.microsoft.com/office/drawing/2014/main" id="{3403A6FE-6C0C-2044-98DA-9ABD894B5B7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</xdr:row>
      <xdr:rowOff>0</xdr:rowOff>
    </xdr:from>
    <xdr:ext cx="304800" cy="304800"/>
    <xdr:sp macro="" textlink="">
      <xdr:nvSpPr>
        <xdr:cNvPr id="166" name="AutoShape 4" descr="\sigma">
          <a:extLst>
            <a:ext uri="{FF2B5EF4-FFF2-40B4-BE49-F238E27FC236}">
              <a16:creationId xmlns:a16="http://schemas.microsoft.com/office/drawing/2014/main" id="{912752EE-4F69-EC4D-A223-B1E83929301C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167" name="AutoShape 3" descr="\sigma">
          <a:extLst>
            <a:ext uri="{FF2B5EF4-FFF2-40B4-BE49-F238E27FC236}">
              <a16:creationId xmlns:a16="http://schemas.microsoft.com/office/drawing/2014/main" id="{243BD7FD-CB5F-7645-BB8E-518DF57B82E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168" name="AutoShape 4" descr="\sigma">
          <a:extLst>
            <a:ext uri="{FF2B5EF4-FFF2-40B4-BE49-F238E27FC236}">
              <a16:creationId xmlns:a16="http://schemas.microsoft.com/office/drawing/2014/main" id="{1DF4AF5F-341F-D24C-87A1-BA51239F708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169" name="AutoShape 3" descr="\sigma">
          <a:extLst>
            <a:ext uri="{FF2B5EF4-FFF2-40B4-BE49-F238E27FC236}">
              <a16:creationId xmlns:a16="http://schemas.microsoft.com/office/drawing/2014/main" id="{236E83AD-9079-2941-B9B3-9D07590E9A9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170" name="AutoShape 4" descr="\sigma">
          <a:extLst>
            <a:ext uri="{FF2B5EF4-FFF2-40B4-BE49-F238E27FC236}">
              <a16:creationId xmlns:a16="http://schemas.microsoft.com/office/drawing/2014/main" id="{570B0279-43D9-1D4D-B8D0-C563FF9802D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</xdr:row>
      <xdr:rowOff>0</xdr:rowOff>
    </xdr:from>
    <xdr:ext cx="304800" cy="304800"/>
    <xdr:sp macro="" textlink="">
      <xdr:nvSpPr>
        <xdr:cNvPr id="171" name="AutoShape 3" descr="\sigma">
          <a:extLst>
            <a:ext uri="{FF2B5EF4-FFF2-40B4-BE49-F238E27FC236}">
              <a16:creationId xmlns:a16="http://schemas.microsoft.com/office/drawing/2014/main" id="{144C584C-65AD-3643-BC1D-3B6E8F0B99B3}"/>
            </a:ext>
          </a:extLst>
        </xdr:cNvPr>
        <xdr:cNvSpPr>
          <a:spLocks noChangeAspect="1" noChangeArrowheads="1"/>
        </xdr:cNvSpPr>
      </xdr:nvSpPr>
      <xdr:spPr bwMode="auto">
        <a:xfrm>
          <a:off x="44831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</xdr:row>
      <xdr:rowOff>0</xdr:rowOff>
    </xdr:from>
    <xdr:ext cx="304800" cy="304800"/>
    <xdr:sp macro="" textlink="">
      <xdr:nvSpPr>
        <xdr:cNvPr id="172" name="AutoShape 4" descr="\sigma">
          <a:extLst>
            <a:ext uri="{FF2B5EF4-FFF2-40B4-BE49-F238E27FC236}">
              <a16:creationId xmlns:a16="http://schemas.microsoft.com/office/drawing/2014/main" id="{6FB24E62-4CF3-8140-B284-E8406723686A}"/>
            </a:ext>
          </a:extLst>
        </xdr:cNvPr>
        <xdr:cNvSpPr>
          <a:spLocks noChangeAspect="1" noChangeArrowheads="1"/>
        </xdr:cNvSpPr>
      </xdr:nvSpPr>
      <xdr:spPr bwMode="auto">
        <a:xfrm>
          <a:off x="44831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73" name="AutoShape 3" descr="\sigma">
          <a:extLst>
            <a:ext uri="{FF2B5EF4-FFF2-40B4-BE49-F238E27FC236}">
              <a16:creationId xmlns:a16="http://schemas.microsoft.com/office/drawing/2014/main" id="{E4E7C2A3-9AF2-FC45-A44E-C9CD0FB62D9A}"/>
            </a:ext>
          </a:extLst>
        </xdr:cNvPr>
        <xdr:cNvSpPr>
          <a:spLocks noChangeAspect="1" noChangeArrowheads="1"/>
        </xdr:cNvSpPr>
      </xdr:nvSpPr>
      <xdr:spPr bwMode="auto">
        <a:xfrm>
          <a:off x="4483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174" name="AutoShape 4" descr="\sigma">
          <a:extLst>
            <a:ext uri="{FF2B5EF4-FFF2-40B4-BE49-F238E27FC236}">
              <a16:creationId xmlns:a16="http://schemas.microsoft.com/office/drawing/2014/main" id="{59A86241-4850-B040-9529-63A74CFC1A5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</xdr:row>
      <xdr:rowOff>0</xdr:rowOff>
    </xdr:from>
    <xdr:ext cx="304800" cy="304800"/>
    <xdr:sp macro="" textlink="">
      <xdr:nvSpPr>
        <xdr:cNvPr id="175" name="AutoShape 3" descr="\sigma">
          <a:extLst>
            <a:ext uri="{FF2B5EF4-FFF2-40B4-BE49-F238E27FC236}">
              <a16:creationId xmlns:a16="http://schemas.microsoft.com/office/drawing/2014/main" id="{52BBC91E-C681-054F-9434-9244C6B01A8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</xdr:row>
      <xdr:rowOff>0</xdr:rowOff>
    </xdr:from>
    <xdr:ext cx="304800" cy="304800"/>
    <xdr:sp macro="" textlink="">
      <xdr:nvSpPr>
        <xdr:cNvPr id="176" name="AutoShape 4" descr="\sigma">
          <a:extLst>
            <a:ext uri="{FF2B5EF4-FFF2-40B4-BE49-F238E27FC236}">
              <a16:creationId xmlns:a16="http://schemas.microsoft.com/office/drawing/2014/main" id="{44DB1E66-895A-6448-9FE6-6D72579F312C}"/>
            </a:ext>
          </a:extLst>
        </xdr:cNvPr>
        <xdr:cNvSpPr>
          <a:spLocks noChangeAspect="1" noChangeArrowheads="1"/>
        </xdr:cNvSpPr>
      </xdr:nvSpPr>
      <xdr:spPr bwMode="auto">
        <a:xfrm>
          <a:off x="4483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</xdr:row>
      <xdr:rowOff>0</xdr:rowOff>
    </xdr:from>
    <xdr:ext cx="304800" cy="304800"/>
    <xdr:sp macro="" textlink="">
      <xdr:nvSpPr>
        <xdr:cNvPr id="177" name="AutoShape 3" descr="\sigma">
          <a:extLst>
            <a:ext uri="{FF2B5EF4-FFF2-40B4-BE49-F238E27FC236}">
              <a16:creationId xmlns:a16="http://schemas.microsoft.com/office/drawing/2014/main" id="{4B75E2C2-58CE-5347-8C9F-DA9844FDA40C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</xdr:row>
      <xdr:rowOff>0</xdr:rowOff>
    </xdr:from>
    <xdr:ext cx="304800" cy="304800"/>
    <xdr:sp macro="" textlink="">
      <xdr:nvSpPr>
        <xdr:cNvPr id="178" name="AutoShape 4" descr="\sigma">
          <a:extLst>
            <a:ext uri="{FF2B5EF4-FFF2-40B4-BE49-F238E27FC236}">
              <a16:creationId xmlns:a16="http://schemas.microsoft.com/office/drawing/2014/main" id="{7D2B182B-B0A9-524D-ABF7-9870340120F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800"/>
    <xdr:sp macro="" textlink="">
      <xdr:nvSpPr>
        <xdr:cNvPr id="179" name="AutoShape 3" descr="\sigma">
          <a:extLst>
            <a:ext uri="{FF2B5EF4-FFF2-40B4-BE49-F238E27FC236}">
              <a16:creationId xmlns:a16="http://schemas.microsoft.com/office/drawing/2014/main" id="{9D7D0A45-0848-E94B-A198-B0531B347A4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800"/>
    <xdr:sp macro="" textlink="">
      <xdr:nvSpPr>
        <xdr:cNvPr id="180" name="AutoShape 4" descr="\sigma">
          <a:extLst>
            <a:ext uri="{FF2B5EF4-FFF2-40B4-BE49-F238E27FC236}">
              <a16:creationId xmlns:a16="http://schemas.microsoft.com/office/drawing/2014/main" id="{696CCF8C-2FF5-F345-9127-0D48C1763FEA}"/>
            </a:ext>
          </a:extLst>
        </xdr:cNvPr>
        <xdr:cNvSpPr>
          <a:spLocks noChangeAspect="1" noChangeArrowheads="1"/>
        </xdr:cNvSpPr>
      </xdr:nvSpPr>
      <xdr:spPr bwMode="auto">
        <a:xfrm>
          <a:off x="44831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181" name="AutoShape 3" descr="\sigma">
          <a:extLst>
            <a:ext uri="{FF2B5EF4-FFF2-40B4-BE49-F238E27FC236}">
              <a16:creationId xmlns:a16="http://schemas.microsoft.com/office/drawing/2014/main" id="{F236A90F-DA9F-CF4E-91F2-E192363A945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182" name="AutoShape 4" descr="\sigma">
          <a:extLst>
            <a:ext uri="{FF2B5EF4-FFF2-40B4-BE49-F238E27FC236}">
              <a16:creationId xmlns:a16="http://schemas.microsoft.com/office/drawing/2014/main" id="{BD669204-6CD1-B241-96C4-B9C4E437B6B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183" name="AutoShape 3" descr="\sigma">
          <a:extLst>
            <a:ext uri="{FF2B5EF4-FFF2-40B4-BE49-F238E27FC236}">
              <a16:creationId xmlns:a16="http://schemas.microsoft.com/office/drawing/2014/main" id="{0C2DC302-7FDC-4949-B44A-02825E7EE8C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184" name="AutoShape 4" descr="\sigma">
          <a:extLst>
            <a:ext uri="{FF2B5EF4-FFF2-40B4-BE49-F238E27FC236}">
              <a16:creationId xmlns:a16="http://schemas.microsoft.com/office/drawing/2014/main" id="{DD3C4DEA-E407-534D-B7BE-BB58ED6DE48F}"/>
            </a:ext>
          </a:extLst>
        </xdr:cNvPr>
        <xdr:cNvSpPr>
          <a:spLocks noChangeAspect="1" noChangeArrowheads="1"/>
        </xdr:cNvSpPr>
      </xdr:nvSpPr>
      <xdr:spPr bwMode="auto">
        <a:xfrm>
          <a:off x="4483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185" name="AutoShape 3" descr="\sigma">
          <a:extLst>
            <a:ext uri="{FF2B5EF4-FFF2-40B4-BE49-F238E27FC236}">
              <a16:creationId xmlns:a16="http://schemas.microsoft.com/office/drawing/2014/main" id="{24AA91A9-EEA9-7145-B001-3D8EA6B495FB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186" name="AutoShape 4" descr="\sigma">
          <a:extLst>
            <a:ext uri="{FF2B5EF4-FFF2-40B4-BE49-F238E27FC236}">
              <a16:creationId xmlns:a16="http://schemas.microsoft.com/office/drawing/2014/main" id="{C2B4FCCE-2E3A-724F-B4A1-51C8371A923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187" name="AutoShape 3" descr="\sigma">
          <a:extLst>
            <a:ext uri="{FF2B5EF4-FFF2-40B4-BE49-F238E27FC236}">
              <a16:creationId xmlns:a16="http://schemas.microsoft.com/office/drawing/2014/main" id="{6A79518E-70D6-6D4D-914D-FC9D6C3E81EF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188" name="AutoShape 4" descr="\sigma">
          <a:extLst>
            <a:ext uri="{FF2B5EF4-FFF2-40B4-BE49-F238E27FC236}">
              <a16:creationId xmlns:a16="http://schemas.microsoft.com/office/drawing/2014/main" id="{B187537F-F8DE-C445-B1E2-10226010B91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189" name="AutoShape 3" descr="\sigma">
          <a:extLst>
            <a:ext uri="{FF2B5EF4-FFF2-40B4-BE49-F238E27FC236}">
              <a16:creationId xmlns:a16="http://schemas.microsoft.com/office/drawing/2014/main" id="{B94E6B99-242D-7F4D-BBCC-0091B94AB9E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190" name="AutoShape 4" descr="\sigma">
          <a:extLst>
            <a:ext uri="{FF2B5EF4-FFF2-40B4-BE49-F238E27FC236}">
              <a16:creationId xmlns:a16="http://schemas.microsoft.com/office/drawing/2014/main" id="{75A08138-32C5-5D48-B702-B968BE44743D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191" name="AutoShape 3" descr="\sigma">
          <a:extLst>
            <a:ext uri="{FF2B5EF4-FFF2-40B4-BE49-F238E27FC236}">
              <a16:creationId xmlns:a16="http://schemas.microsoft.com/office/drawing/2014/main" id="{50A9A88B-05B7-AE42-AE4D-B88E7C9B531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192" name="AutoShape 4" descr="\sigma">
          <a:extLst>
            <a:ext uri="{FF2B5EF4-FFF2-40B4-BE49-F238E27FC236}">
              <a16:creationId xmlns:a16="http://schemas.microsoft.com/office/drawing/2014/main" id="{AA916F7A-D35D-FD4A-AB3F-468AB53DB59C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193" name="AutoShape 3" descr="\sigma">
          <a:extLst>
            <a:ext uri="{FF2B5EF4-FFF2-40B4-BE49-F238E27FC236}">
              <a16:creationId xmlns:a16="http://schemas.microsoft.com/office/drawing/2014/main" id="{100C468F-826E-2643-93A4-4B5E86DC024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194" name="AutoShape 4" descr="\sigma">
          <a:extLst>
            <a:ext uri="{FF2B5EF4-FFF2-40B4-BE49-F238E27FC236}">
              <a16:creationId xmlns:a16="http://schemas.microsoft.com/office/drawing/2014/main" id="{9D20ACB4-57F5-5443-A3D1-12EC255DE162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195" name="AutoShape 3" descr="\sigma">
          <a:extLst>
            <a:ext uri="{FF2B5EF4-FFF2-40B4-BE49-F238E27FC236}">
              <a16:creationId xmlns:a16="http://schemas.microsoft.com/office/drawing/2014/main" id="{1C815BC4-2F11-5544-ACE3-2475D447B91B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196" name="AutoShape 4" descr="\sigma">
          <a:extLst>
            <a:ext uri="{FF2B5EF4-FFF2-40B4-BE49-F238E27FC236}">
              <a16:creationId xmlns:a16="http://schemas.microsoft.com/office/drawing/2014/main" id="{B1B46A99-C868-4E46-9B60-DFA6CE861382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304800"/>
    <xdr:sp macro="" textlink="">
      <xdr:nvSpPr>
        <xdr:cNvPr id="197" name="AutoShape 3" descr="\sigma">
          <a:extLst>
            <a:ext uri="{FF2B5EF4-FFF2-40B4-BE49-F238E27FC236}">
              <a16:creationId xmlns:a16="http://schemas.microsoft.com/office/drawing/2014/main" id="{88E3BCE4-C4A1-BE4D-8B17-57272EEFB63A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304800"/>
    <xdr:sp macro="" textlink="">
      <xdr:nvSpPr>
        <xdr:cNvPr id="198" name="AutoShape 4" descr="\sigma">
          <a:extLst>
            <a:ext uri="{FF2B5EF4-FFF2-40B4-BE49-F238E27FC236}">
              <a16:creationId xmlns:a16="http://schemas.microsoft.com/office/drawing/2014/main" id="{F0067F67-3593-2A44-9CBB-9F8300EFDBC1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304800"/>
    <xdr:sp macro="" textlink="">
      <xdr:nvSpPr>
        <xdr:cNvPr id="199" name="AutoShape 3" descr="\sigma">
          <a:extLst>
            <a:ext uri="{FF2B5EF4-FFF2-40B4-BE49-F238E27FC236}">
              <a16:creationId xmlns:a16="http://schemas.microsoft.com/office/drawing/2014/main" id="{95820058-288F-DD40-9A38-5E099AAD660A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304800"/>
    <xdr:sp macro="" textlink="">
      <xdr:nvSpPr>
        <xdr:cNvPr id="200" name="AutoShape 4" descr="\sigma">
          <a:extLst>
            <a:ext uri="{FF2B5EF4-FFF2-40B4-BE49-F238E27FC236}">
              <a16:creationId xmlns:a16="http://schemas.microsoft.com/office/drawing/2014/main" id="{41C7128E-2968-EB47-9AD9-B568C6E3228B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</xdr:row>
      <xdr:rowOff>0</xdr:rowOff>
    </xdr:from>
    <xdr:ext cx="304800" cy="304800"/>
    <xdr:sp macro="" textlink="">
      <xdr:nvSpPr>
        <xdr:cNvPr id="201" name="AutoShape 3" descr="\sigma">
          <a:extLst>
            <a:ext uri="{FF2B5EF4-FFF2-40B4-BE49-F238E27FC236}">
              <a16:creationId xmlns:a16="http://schemas.microsoft.com/office/drawing/2014/main" id="{2ED2A9B5-5BF1-4A4C-BF1F-679257460C1F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</xdr:row>
      <xdr:rowOff>0</xdr:rowOff>
    </xdr:from>
    <xdr:ext cx="304800" cy="304800"/>
    <xdr:sp macro="" textlink="">
      <xdr:nvSpPr>
        <xdr:cNvPr id="202" name="AutoShape 4" descr="\sigma">
          <a:extLst>
            <a:ext uri="{FF2B5EF4-FFF2-40B4-BE49-F238E27FC236}">
              <a16:creationId xmlns:a16="http://schemas.microsoft.com/office/drawing/2014/main" id="{4BA731CE-7759-BB44-B1CE-500F11365E63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</xdr:row>
      <xdr:rowOff>0</xdr:rowOff>
    </xdr:from>
    <xdr:ext cx="304800" cy="304800"/>
    <xdr:sp macro="" textlink="">
      <xdr:nvSpPr>
        <xdr:cNvPr id="203" name="AutoShape 3" descr="\sigma">
          <a:extLst>
            <a:ext uri="{FF2B5EF4-FFF2-40B4-BE49-F238E27FC236}">
              <a16:creationId xmlns:a16="http://schemas.microsoft.com/office/drawing/2014/main" id="{A2FDE28A-E4BB-CE46-8BE9-ABE42603AE1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</xdr:row>
      <xdr:rowOff>0</xdr:rowOff>
    </xdr:from>
    <xdr:ext cx="304800" cy="304800"/>
    <xdr:sp macro="" textlink="">
      <xdr:nvSpPr>
        <xdr:cNvPr id="204" name="AutoShape 4" descr="\sigma">
          <a:extLst>
            <a:ext uri="{FF2B5EF4-FFF2-40B4-BE49-F238E27FC236}">
              <a16:creationId xmlns:a16="http://schemas.microsoft.com/office/drawing/2014/main" id="{4FC107E8-4721-A146-876C-98973EED410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205" name="AutoShape 3" descr="\sigma">
          <a:extLst>
            <a:ext uri="{FF2B5EF4-FFF2-40B4-BE49-F238E27FC236}">
              <a16:creationId xmlns:a16="http://schemas.microsoft.com/office/drawing/2014/main" id="{22993E5B-5107-D24C-B459-2B8E48554B4C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206" name="AutoShape 4" descr="\sigma">
          <a:extLst>
            <a:ext uri="{FF2B5EF4-FFF2-40B4-BE49-F238E27FC236}">
              <a16:creationId xmlns:a16="http://schemas.microsoft.com/office/drawing/2014/main" id="{E77A7C28-3F07-B143-BC18-F3941F8354B0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207" name="AutoShape 3" descr="\sigma">
          <a:extLst>
            <a:ext uri="{FF2B5EF4-FFF2-40B4-BE49-F238E27FC236}">
              <a16:creationId xmlns:a16="http://schemas.microsoft.com/office/drawing/2014/main" id="{2667AF7E-DA0E-9B4E-A859-A4720D0144D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304800"/>
    <xdr:sp macro="" textlink="">
      <xdr:nvSpPr>
        <xdr:cNvPr id="208" name="AutoShape 4" descr="\sigma">
          <a:extLst>
            <a:ext uri="{FF2B5EF4-FFF2-40B4-BE49-F238E27FC236}">
              <a16:creationId xmlns:a16="http://schemas.microsoft.com/office/drawing/2014/main" id="{80FE7A68-F9D4-1547-8AA2-385FE019C5C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</xdr:row>
      <xdr:rowOff>0</xdr:rowOff>
    </xdr:from>
    <xdr:ext cx="304800" cy="304800"/>
    <xdr:sp macro="" textlink="">
      <xdr:nvSpPr>
        <xdr:cNvPr id="209" name="AutoShape 3" descr="\sigma">
          <a:extLst>
            <a:ext uri="{FF2B5EF4-FFF2-40B4-BE49-F238E27FC236}">
              <a16:creationId xmlns:a16="http://schemas.microsoft.com/office/drawing/2014/main" id="{F94EDC31-923D-CC4C-BBA1-273F3DED32FA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</xdr:row>
      <xdr:rowOff>0</xdr:rowOff>
    </xdr:from>
    <xdr:ext cx="304800" cy="304800"/>
    <xdr:sp macro="" textlink="">
      <xdr:nvSpPr>
        <xdr:cNvPr id="210" name="AutoShape 4" descr="\sigma">
          <a:extLst>
            <a:ext uri="{FF2B5EF4-FFF2-40B4-BE49-F238E27FC236}">
              <a16:creationId xmlns:a16="http://schemas.microsoft.com/office/drawing/2014/main" id="{940DDA4B-4715-9340-A240-64F626DB4CDF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</xdr:row>
      <xdr:rowOff>0</xdr:rowOff>
    </xdr:from>
    <xdr:ext cx="304800" cy="304800"/>
    <xdr:sp macro="" textlink="">
      <xdr:nvSpPr>
        <xdr:cNvPr id="211" name="AutoShape 3" descr="\sigma">
          <a:extLst>
            <a:ext uri="{FF2B5EF4-FFF2-40B4-BE49-F238E27FC236}">
              <a16:creationId xmlns:a16="http://schemas.microsoft.com/office/drawing/2014/main" id="{487BB347-D6A3-E841-B7F4-9783467BF30E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</xdr:row>
      <xdr:rowOff>0</xdr:rowOff>
    </xdr:from>
    <xdr:ext cx="304800" cy="304800"/>
    <xdr:sp macro="" textlink="">
      <xdr:nvSpPr>
        <xdr:cNvPr id="212" name="AutoShape 4" descr="\sigma">
          <a:extLst>
            <a:ext uri="{FF2B5EF4-FFF2-40B4-BE49-F238E27FC236}">
              <a16:creationId xmlns:a16="http://schemas.microsoft.com/office/drawing/2014/main" id="{DA17EE1D-3B98-7E41-8F3B-8A1208C888AD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</xdr:row>
      <xdr:rowOff>0</xdr:rowOff>
    </xdr:from>
    <xdr:ext cx="304800" cy="304800"/>
    <xdr:sp macro="" textlink="">
      <xdr:nvSpPr>
        <xdr:cNvPr id="213" name="AutoShape 3" descr="\sigma">
          <a:extLst>
            <a:ext uri="{FF2B5EF4-FFF2-40B4-BE49-F238E27FC236}">
              <a16:creationId xmlns:a16="http://schemas.microsoft.com/office/drawing/2014/main" id="{2DE5E504-82FF-D341-AB68-CA1D26614102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</xdr:row>
      <xdr:rowOff>0</xdr:rowOff>
    </xdr:from>
    <xdr:ext cx="304800" cy="304800"/>
    <xdr:sp macro="" textlink="">
      <xdr:nvSpPr>
        <xdr:cNvPr id="214" name="AutoShape 4" descr="\sigma">
          <a:extLst>
            <a:ext uri="{FF2B5EF4-FFF2-40B4-BE49-F238E27FC236}">
              <a16:creationId xmlns:a16="http://schemas.microsoft.com/office/drawing/2014/main" id="{D049549F-4DAA-224A-9B40-966E596CC69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</xdr:row>
      <xdr:rowOff>0</xdr:rowOff>
    </xdr:from>
    <xdr:ext cx="304800" cy="304800"/>
    <xdr:sp macro="" textlink="">
      <xdr:nvSpPr>
        <xdr:cNvPr id="215" name="AutoShape 3" descr="\sigma">
          <a:extLst>
            <a:ext uri="{FF2B5EF4-FFF2-40B4-BE49-F238E27FC236}">
              <a16:creationId xmlns:a16="http://schemas.microsoft.com/office/drawing/2014/main" id="{C3052073-B7CA-9B40-9882-2AC6AE23ED53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</xdr:row>
      <xdr:rowOff>0</xdr:rowOff>
    </xdr:from>
    <xdr:ext cx="304800" cy="304800"/>
    <xdr:sp macro="" textlink="">
      <xdr:nvSpPr>
        <xdr:cNvPr id="216" name="AutoShape 4" descr="\sigma">
          <a:extLst>
            <a:ext uri="{FF2B5EF4-FFF2-40B4-BE49-F238E27FC236}">
              <a16:creationId xmlns:a16="http://schemas.microsoft.com/office/drawing/2014/main" id="{92CAEBC8-DCD5-FE43-AFBA-3802671BC793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</xdr:row>
      <xdr:rowOff>0</xdr:rowOff>
    </xdr:from>
    <xdr:ext cx="304800" cy="304800"/>
    <xdr:sp macro="" textlink="">
      <xdr:nvSpPr>
        <xdr:cNvPr id="217" name="AutoShape 3" descr="\sigma">
          <a:extLst>
            <a:ext uri="{FF2B5EF4-FFF2-40B4-BE49-F238E27FC236}">
              <a16:creationId xmlns:a16="http://schemas.microsoft.com/office/drawing/2014/main" id="{93D11DE7-72B2-4041-929F-1D12CC1ED63A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</xdr:row>
      <xdr:rowOff>0</xdr:rowOff>
    </xdr:from>
    <xdr:ext cx="304800" cy="304800"/>
    <xdr:sp macro="" textlink="">
      <xdr:nvSpPr>
        <xdr:cNvPr id="218" name="AutoShape 4" descr="\sigma">
          <a:extLst>
            <a:ext uri="{FF2B5EF4-FFF2-40B4-BE49-F238E27FC236}">
              <a16:creationId xmlns:a16="http://schemas.microsoft.com/office/drawing/2014/main" id="{1D241C8A-0FF4-C04A-BB02-D5A94504D50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</xdr:row>
      <xdr:rowOff>0</xdr:rowOff>
    </xdr:from>
    <xdr:ext cx="304800" cy="304800"/>
    <xdr:sp macro="" textlink="">
      <xdr:nvSpPr>
        <xdr:cNvPr id="219" name="AutoShape 3" descr="\sigma">
          <a:extLst>
            <a:ext uri="{FF2B5EF4-FFF2-40B4-BE49-F238E27FC236}">
              <a16:creationId xmlns:a16="http://schemas.microsoft.com/office/drawing/2014/main" id="{92FB3516-8480-A14F-9A59-06D9AAE685D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</xdr:row>
      <xdr:rowOff>0</xdr:rowOff>
    </xdr:from>
    <xdr:ext cx="304800" cy="304800"/>
    <xdr:sp macro="" textlink="">
      <xdr:nvSpPr>
        <xdr:cNvPr id="220" name="AutoShape 4" descr="\sigma">
          <a:extLst>
            <a:ext uri="{FF2B5EF4-FFF2-40B4-BE49-F238E27FC236}">
              <a16:creationId xmlns:a16="http://schemas.microsoft.com/office/drawing/2014/main" id="{88E85686-0366-3A4D-BA41-489C5C0C86B7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40</xdr:row>
      <xdr:rowOff>0</xdr:rowOff>
    </xdr:from>
    <xdr:ext cx="304800" cy="304800"/>
    <xdr:sp macro="" textlink="">
      <xdr:nvSpPr>
        <xdr:cNvPr id="221" name="AutoShape 3" descr="\sigma">
          <a:extLst>
            <a:ext uri="{FF2B5EF4-FFF2-40B4-BE49-F238E27FC236}">
              <a16:creationId xmlns:a16="http://schemas.microsoft.com/office/drawing/2014/main" id="{D365C109-1F02-F143-BF7A-3342C1D20433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40</xdr:row>
      <xdr:rowOff>0</xdr:rowOff>
    </xdr:from>
    <xdr:ext cx="304800" cy="304800"/>
    <xdr:sp macro="" textlink="">
      <xdr:nvSpPr>
        <xdr:cNvPr id="222" name="AutoShape 4" descr="\sigma">
          <a:extLst>
            <a:ext uri="{FF2B5EF4-FFF2-40B4-BE49-F238E27FC236}">
              <a16:creationId xmlns:a16="http://schemas.microsoft.com/office/drawing/2014/main" id="{ACFC6011-3C93-834E-976E-84279F203D8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40</xdr:row>
      <xdr:rowOff>0</xdr:rowOff>
    </xdr:from>
    <xdr:ext cx="304800" cy="304800"/>
    <xdr:sp macro="" textlink="">
      <xdr:nvSpPr>
        <xdr:cNvPr id="223" name="AutoShape 3" descr="\sigma">
          <a:extLst>
            <a:ext uri="{FF2B5EF4-FFF2-40B4-BE49-F238E27FC236}">
              <a16:creationId xmlns:a16="http://schemas.microsoft.com/office/drawing/2014/main" id="{22FBF063-3D12-4A49-B3A5-C27115FE9DB5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40</xdr:row>
      <xdr:rowOff>0</xdr:rowOff>
    </xdr:from>
    <xdr:ext cx="304800" cy="304800"/>
    <xdr:sp macro="" textlink="">
      <xdr:nvSpPr>
        <xdr:cNvPr id="224" name="AutoShape 4" descr="\sigma">
          <a:extLst>
            <a:ext uri="{FF2B5EF4-FFF2-40B4-BE49-F238E27FC236}">
              <a16:creationId xmlns:a16="http://schemas.microsoft.com/office/drawing/2014/main" id="{FFB8E1D7-4252-884A-AE29-01DB93A43CE4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41</xdr:row>
      <xdr:rowOff>0</xdr:rowOff>
    </xdr:from>
    <xdr:ext cx="304800" cy="304800"/>
    <xdr:sp macro="" textlink="">
      <xdr:nvSpPr>
        <xdr:cNvPr id="225" name="AutoShape 3" descr="\sigma">
          <a:extLst>
            <a:ext uri="{FF2B5EF4-FFF2-40B4-BE49-F238E27FC236}">
              <a16:creationId xmlns:a16="http://schemas.microsoft.com/office/drawing/2014/main" id="{7CD85E48-2ED0-BE4F-8A3B-A098706336BC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41</xdr:row>
      <xdr:rowOff>0</xdr:rowOff>
    </xdr:from>
    <xdr:ext cx="304800" cy="304800"/>
    <xdr:sp macro="" textlink="">
      <xdr:nvSpPr>
        <xdr:cNvPr id="226" name="AutoShape 4" descr="\sigma">
          <a:extLst>
            <a:ext uri="{FF2B5EF4-FFF2-40B4-BE49-F238E27FC236}">
              <a16:creationId xmlns:a16="http://schemas.microsoft.com/office/drawing/2014/main" id="{0B511532-31E9-8243-91B2-7B39CC7F0A2C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41</xdr:row>
      <xdr:rowOff>0</xdr:rowOff>
    </xdr:from>
    <xdr:ext cx="304800" cy="304800"/>
    <xdr:sp macro="" textlink="">
      <xdr:nvSpPr>
        <xdr:cNvPr id="227" name="AutoShape 3" descr="\sigma">
          <a:extLst>
            <a:ext uri="{FF2B5EF4-FFF2-40B4-BE49-F238E27FC236}">
              <a16:creationId xmlns:a16="http://schemas.microsoft.com/office/drawing/2014/main" id="{944F5F32-CB9D-7148-A69C-F5CBDC1404F8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41</xdr:row>
      <xdr:rowOff>0</xdr:rowOff>
    </xdr:from>
    <xdr:ext cx="304800" cy="304800"/>
    <xdr:sp macro="" textlink="">
      <xdr:nvSpPr>
        <xdr:cNvPr id="228" name="AutoShape 4" descr="\sigma">
          <a:extLst>
            <a:ext uri="{FF2B5EF4-FFF2-40B4-BE49-F238E27FC236}">
              <a16:creationId xmlns:a16="http://schemas.microsoft.com/office/drawing/2014/main" id="{A25F99A6-804E-7B4E-871A-A404D6155F71}"/>
            </a:ext>
          </a:extLst>
        </xdr:cNvPr>
        <xdr:cNvSpPr>
          <a:spLocks noChangeAspect="1" noChangeArrowheads="1"/>
        </xdr:cNvSpPr>
      </xdr:nvSpPr>
      <xdr:spPr bwMode="auto">
        <a:xfrm>
          <a:off x="4483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42</xdr:row>
      <xdr:rowOff>0</xdr:rowOff>
    </xdr:from>
    <xdr:ext cx="304800" cy="304800"/>
    <xdr:sp macro="" textlink="">
      <xdr:nvSpPr>
        <xdr:cNvPr id="229" name="AutoShape 3" descr="\sigma">
          <a:extLst>
            <a:ext uri="{FF2B5EF4-FFF2-40B4-BE49-F238E27FC236}">
              <a16:creationId xmlns:a16="http://schemas.microsoft.com/office/drawing/2014/main" id="{C5FB20B9-989C-B443-A074-3DC64F34BDC6}"/>
            </a:ext>
          </a:extLst>
        </xdr:cNvPr>
        <xdr:cNvSpPr>
          <a:spLocks noChangeAspect="1" noChangeArrowheads="1"/>
        </xdr:cNvSpPr>
      </xdr:nvSpPr>
      <xdr:spPr bwMode="auto">
        <a:xfrm>
          <a:off x="44831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42</xdr:row>
      <xdr:rowOff>0</xdr:rowOff>
    </xdr:from>
    <xdr:ext cx="304800" cy="304800"/>
    <xdr:sp macro="" textlink="">
      <xdr:nvSpPr>
        <xdr:cNvPr id="230" name="AutoShape 4" descr="\sigma">
          <a:extLst>
            <a:ext uri="{FF2B5EF4-FFF2-40B4-BE49-F238E27FC236}">
              <a16:creationId xmlns:a16="http://schemas.microsoft.com/office/drawing/2014/main" id="{94B5399B-CCC1-F545-A621-3C2F3BFF4689}"/>
            </a:ext>
          </a:extLst>
        </xdr:cNvPr>
        <xdr:cNvSpPr>
          <a:spLocks noChangeAspect="1" noChangeArrowheads="1"/>
        </xdr:cNvSpPr>
      </xdr:nvSpPr>
      <xdr:spPr bwMode="auto">
        <a:xfrm>
          <a:off x="44831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</xdr:row>
      <xdr:rowOff>0</xdr:rowOff>
    </xdr:from>
    <xdr:ext cx="304800" cy="304800"/>
    <xdr:sp macro="" textlink="">
      <xdr:nvSpPr>
        <xdr:cNvPr id="231" name="AutoShape 3" descr="\sigma">
          <a:extLst>
            <a:ext uri="{FF2B5EF4-FFF2-40B4-BE49-F238E27FC236}">
              <a16:creationId xmlns:a16="http://schemas.microsoft.com/office/drawing/2014/main" id="{4E1A0697-416E-5743-92C7-CE156069EA33}"/>
            </a:ext>
          </a:extLst>
        </xdr:cNvPr>
        <xdr:cNvSpPr>
          <a:spLocks noChangeAspect="1" noChangeArrowheads="1"/>
        </xdr:cNvSpPr>
      </xdr:nvSpPr>
      <xdr:spPr bwMode="auto">
        <a:xfrm>
          <a:off x="4483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</xdr:row>
      <xdr:rowOff>0</xdr:rowOff>
    </xdr:from>
    <xdr:ext cx="304800" cy="304800"/>
    <xdr:sp macro="" textlink="">
      <xdr:nvSpPr>
        <xdr:cNvPr id="232" name="AutoShape 4" descr="\sigma">
          <a:extLst>
            <a:ext uri="{FF2B5EF4-FFF2-40B4-BE49-F238E27FC236}">
              <a16:creationId xmlns:a16="http://schemas.microsoft.com/office/drawing/2014/main" id="{70449B0A-8140-5343-9FC7-4B6D80B31BBB}"/>
            </a:ext>
          </a:extLst>
        </xdr:cNvPr>
        <xdr:cNvSpPr>
          <a:spLocks noChangeAspect="1" noChangeArrowheads="1"/>
        </xdr:cNvSpPr>
      </xdr:nvSpPr>
      <xdr:spPr bwMode="auto">
        <a:xfrm>
          <a:off x="4483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23</xdr:col>
      <xdr:colOff>101600</xdr:colOff>
      <xdr:row>18</xdr:row>
      <xdr:rowOff>164897</xdr:rowOff>
    </xdr:from>
    <xdr:to>
      <xdr:col>30</xdr:col>
      <xdr:colOff>774700</xdr:colOff>
      <xdr:row>42</xdr:row>
      <xdr:rowOff>139700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82DB06B2-AEF8-5DA8-E9F2-162C07CD2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43800" y="3822497"/>
          <a:ext cx="6451600" cy="4851603"/>
        </a:xfrm>
        <a:prstGeom prst="rect">
          <a:avLst/>
        </a:prstGeom>
      </xdr:spPr>
    </xdr:pic>
    <xdr:clientData/>
  </xdr:twoCellAnchor>
  <xdr:twoCellAnchor>
    <xdr:from>
      <xdr:col>3</xdr:col>
      <xdr:colOff>266700</xdr:colOff>
      <xdr:row>18</xdr:row>
      <xdr:rowOff>38100</xdr:rowOff>
    </xdr:from>
    <xdr:to>
      <xdr:col>11</xdr:col>
      <xdr:colOff>571500</xdr:colOff>
      <xdr:row>42</xdr:row>
      <xdr:rowOff>101600</xdr:rowOff>
    </xdr:to>
    <xdr:graphicFrame macro="">
      <xdr:nvGraphicFramePr>
        <xdr:cNvPr id="113" name="Chart 112">
          <a:extLst>
            <a:ext uri="{FF2B5EF4-FFF2-40B4-BE49-F238E27FC236}">
              <a16:creationId xmlns:a16="http://schemas.microsoft.com/office/drawing/2014/main" id="{E295F25E-8763-A447-B2B8-3D2FD66FF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221120</xdr:colOff>
      <xdr:row>29</xdr:row>
      <xdr:rowOff>136480</xdr:rowOff>
    </xdr:from>
    <xdr:to>
      <xdr:col>10</xdr:col>
      <xdr:colOff>292760</xdr:colOff>
      <xdr:row>30</xdr:row>
      <xdr:rowOff>98160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839F4F79-3752-7345-834B-F51958099367}"/>
                </a:ext>
              </a:extLst>
            </xdr14:cNvPr>
            <xdr14:cNvContentPartPr/>
          </xdr14:nvContentPartPr>
          <xdr14:nvPr macro=""/>
          <xdr14:xfrm>
            <a:off x="8806320" y="6029280"/>
            <a:ext cx="71640" cy="16488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839F4F79-3752-7345-834B-F5195809936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8800200" y="6023160"/>
              <a:ext cx="8388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446380</xdr:colOff>
      <xdr:row>25</xdr:row>
      <xdr:rowOff>133160</xdr:rowOff>
    </xdr:from>
    <xdr:to>
      <xdr:col>5</xdr:col>
      <xdr:colOff>525940</xdr:colOff>
      <xdr:row>26</xdr:row>
      <xdr:rowOff>112120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B89A2B45-577D-691D-ECD3-3F7046F362F7}"/>
                </a:ext>
              </a:extLst>
            </xdr14:cNvPr>
            <xdr14:cNvContentPartPr/>
          </xdr14:nvContentPartPr>
          <xdr14:nvPr macro=""/>
          <xdr14:xfrm>
            <a:off x="4929480" y="5213160"/>
            <a:ext cx="79560" cy="18216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B89A2B45-577D-691D-ECD3-3F7046F362F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923388" y="5207040"/>
              <a:ext cx="91745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835900</xdr:colOff>
      <xdr:row>27</xdr:row>
      <xdr:rowOff>39600</xdr:rowOff>
    </xdr:from>
    <xdr:to>
      <xdr:col>5</xdr:col>
      <xdr:colOff>923380</xdr:colOff>
      <xdr:row>27</xdr:row>
      <xdr:rowOff>171720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DA141883-762E-1A83-ADDC-A064F6C676AC}"/>
                </a:ext>
              </a:extLst>
            </xdr14:cNvPr>
            <xdr14:cNvContentPartPr/>
          </xdr14:nvContentPartPr>
          <xdr14:nvPr macro=""/>
          <xdr14:xfrm>
            <a:off x="5319000" y="5526000"/>
            <a:ext cx="87480" cy="13212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DA141883-762E-1A83-ADDC-A064F6C676AC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312905" y="5519880"/>
              <a:ext cx="99670" cy="14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214200</xdr:colOff>
      <xdr:row>24</xdr:row>
      <xdr:rowOff>33240</xdr:rowOff>
    </xdr:from>
    <xdr:to>
      <xdr:col>6</xdr:col>
      <xdr:colOff>299160</xdr:colOff>
      <xdr:row>24</xdr:row>
      <xdr:rowOff>176520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03BDDB3E-286F-A2DD-A3A5-A1F5C582E94D}"/>
                </a:ext>
              </a:extLst>
            </xdr14:cNvPr>
            <xdr14:cNvContentPartPr/>
          </xdr14:nvContentPartPr>
          <xdr14:nvPr macro=""/>
          <xdr14:xfrm>
            <a:off x="5700600" y="4910040"/>
            <a:ext cx="84960" cy="14328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03BDDB3E-286F-A2DD-A3A5-A1F5C582E94D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694480" y="4903920"/>
              <a:ext cx="9720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1164400</xdr:colOff>
      <xdr:row>25</xdr:row>
      <xdr:rowOff>177080</xdr:rowOff>
    </xdr:from>
    <xdr:to>
      <xdr:col>4</xdr:col>
      <xdr:colOff>1233520</xdr:colOff>
      <xdr:row>26</xdr:row>
      <xdr:rowOff>80800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600D7E39-9B9A-4F65-84FD-7DBDAFF514A7}"/>
                </a:ext>
              </a:extLst>
            </xdr14:cNvPr>
            <xdr14:cNvContentPartPr/>
          </xdr14:nvContentPartPr>
          <xdr14:nvPr macro=""/>
          <xdr14:xfrm>
            <a:off x="4161600" y="5257080"/>
            <a:ext cx="69120" cy="10692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600D7E39-9B9A-4F65-84FD-7DBDAFF514A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155480" y="5250960"/>
              <a:ext cx="81360" cy="11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1482640</xdr:colOff>
      <xdr:row>23</xdr:row>
      <xdr:rowOff>191440</xdr:rowOff>
    </xdr:from>
    <xdr:to>
      <xdr:col>5</xdr:col>
      <xdr:colOff>60100</xdr:colOff>
      <xdr:row>24</xdr:row>
      <xdr:rowOff>103800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A92B2343-E1F3-1BF1-9C1D-9D26A277348B}"/>
                </a:ext>
              </a:extLst>
            </xdr14:cNvPr>
            <xdr14:cNvContentPartPr/>
          </xdr14:nvContentPartPr>
          <xdr14:nvPr macro=""/>
          <xdr14:xfrm>
            <a:off x="4479840" y="4865040"/>
            <a:ext cx="63360" cy="11556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A92B2343-E1F3-1BF1-9C1D-9D26A277348B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473720" y="4858920"/>
              <a:ext cx="75600" cy="12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210940</xdr:colOff>
      <xdr:row>28</xdr:row>
      <xdr:rowOff>23600</xdr:rowOff>
    </xdr:from>
    <xdr:to>
      <xdr:col>5</xdr:col>
      <xdr:colOff>274660</xdr:colOff>
      <xdr:row>28</xdr:row>
      <xdr:rowOff>176240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BA66D85B-3CC6-B77A-7CEC-F064BBC6D6A3}"/>
                </a:ext>
              </a:extLst>
            </xdr14:cNvPr>
            <xdr14:cNvContentPartPr/>
          </xdr14:nvContentPartPr>
          <xdr14:nvPr macro=""/>
          <xdr14:xfrm>
            <a:off x="4694040" y="5713200"/>
            <a:ext cx="63720" cy="152640"/>
          </xdr14:xfrm>
        </xdr:contentPart>
      </mc:Choice>
      <mc:Fallback xmlns=""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BA66D85B-3CC6-B77A-7CEC-F064BBC6D6A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687920" y="5707094"/>
              <a:ext cx="75960" cy="1648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755800</xdr:colOff>
      <xdr:row>36</xdr:row>
      <xdr:rowOff>154080</xdr:rowOff>
    </xdr:from>
    <xdr:to>
      <xdr:col>4</xdr:col>
      <xdr:colOff>756160</xdr:colOff>
      <xdr:row>37</xdr:row>
      <xdr:rowOff>37280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55" name="Ink 254">
              <a:extLst>
                <a:ext uri="{FF2B5EF4-FFF2-40B4-BE49-F238E27FC236}">
                  <a16:creationId xmlns:a16="http://schemas.microsoft.com/office/drawing/2014/main" id="{D59BD074-9722-2572-10B8-CF2CF874D25E}"/>
                </a:ext>
              </a:extLst>
            </xdr14:cNvPr>
            <xdr14:cNvContentPartPr/>
          </xdr14:nvContentPartPr>
          <xdr14:nvPr macro=""/>
          <xdr14:xfrm>
            <a:off x="3753000" y="7469280"/>
            <a:ext cx="360" cy="86400"/>
          </xdr14:xfrm>
        </xdr:contentPart>
      </mc:Choice>
      <mc:Fallback xmlns="">
        <xdr:pic>
          <xdr:nvPicPr>
            <xdr:cNvPr id="255" name="Ink 254">
              <a:extLst>
                <a:ext uri="{FF2B5EF4-FFF2-40B4-BE49-F238E27FC236}">
                  <a16:creationId xmlns:a16="http://schemas.microsoft.com/office/drawing/2014/main" id="{D59BD074-9722-2572-10B8-CF2CF874D25E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746880" y="7463160"/>
              <a:ext cx="12600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804760</xdr:colOff>
      <xdr:row>36</xdr:row>
      <xdr:rowOff>165600</xdr:rowOff>
    </xdr:from>
    <xdr:to>
      <xdr:col>4</xdr:col>
      <xdr:colOff>868120</xdr:colOff>
      <xdr:row>37</xdr:row>
      <xdr:rowOff>56360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B94AA36B-D1F2-6D84-5A15-448E1499A86D}"/>
                </a:ext>
              </a:extLst>
            </xdr14:cNvPr>
            <xdr14:cNvContentPartPr/>
          </xdr14:nvContentPartPr>
          <xdr14:nvPr macro=""/>
          <xdr14:xfrm>
            <a:off x="3801960" y="7480800"/>
            <a:ext cx="63360" cy="93960"/>
          </xdr14:xfrm>
        </xdr:contentPart>
      </mc:Choice>
      <mc:Fallback xmlns=""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B94AA36B-D1F2-6D84-5A15-448E1499A86D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795840" y="7474680"/>
              <a:ext cx="75600" cy="10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983320</xdr:colOff>
      <xdr:row>30</xdr:row>
      <xdr:rowOff>85560</xdr:rowOff>
    </xdr:from>
    <xdr:to>
      <xdr:col>4</xdr:col>
      <xdr:colOff>983680</xdr:colOff>
      <xdr:row>31</xdr:row>
      <xdr:rowOff>15560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F35727D4-5E92-A174-A99E-48A6533CC801}"/>
                </a:ext>
              </a:extLst>
            </xdr14:cNvPr>
            <xdr14:cNvContentPartPr/>
          </xdr14:nvContentPartPr>
          <xdr14:nvPr macro=""/>
          <xdr14:xfrm>
            <a:off x="3980520" y="6181560"/>
            <a:ext cx="360" cy="133200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F35727D4-5E92-A174-A99E-48A6533CC80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974400" y="6175440"/>
              <a:ext cx="12600" cy="14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1039480</xdr:colOff>
      <xdr:row>30</xdr:row>
      <xdr:rowOff>84120</xdr:rowOff>
    </xdr:from>
    <xdr:to>
      <xdr:col>4</xdr:col>
      <xdr:colOff>1039840</xdr:colOff>
      <xdr:row>31</xdr:row>
      <xdr:rowOff>32840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E46036B9-9540-9BD9-A5E7-4EA561D3471D}"/>
                </a:ext>
              </a:extLst>
            </xdr14:cNvPr>
            <xdr14:cNvContentPartPr/>
          </xdr14:nvContentPartPr>
          <xdr14:nvPr macro=""/>
          <xdr14:xfrm>
            <a:off x="4036680" y="6180120"/>
            <a:ext cx="360" cy="151920"/>
          </xdr14:xfrm>
        </xdr:contentPart>
      </mc:Choice>
      <mc:Fallback xmlns=""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E46036B9-9540-9BD9-A5E7-4EA561D3471D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030560" y="6174000"/>
              <a:ext cx="1260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835360</xdr:colOff>
      <xdr:row>26</xdr:row>
      <xdr:rowOff>55960</xdr:rowOff>
    </xdr:from>
    <xdr:to>
      <xdr:col>4</xdr:col>
      <xdr:colOff>961720</xdr:colOff>
      <xdr:row>27</xdr:row>
      <xdr:rowOff>21600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48EB2C63-3B83-2EBE-87DB-094F7AEDC06A}"/>
                </a:ext>
              </a:extLst>
            </xdr14:cNvPr>
            <xdr14:cNvContentPartPr/>
          </xdr14:nvContentPartPr>
          <xdr14:nvPr macro=""/>
          <xdr14:xfrm>
            <a:off x="3832560" y="5339160"/>
            <a:ext cx="126360" cy="168840"/>
          </xdr14:xfrm>
        </xdr:contentPart>
      </mc:Choice>
      <mc:Fallback xmlns=""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48EB2C63-3B83-2EBE-87DB-094F7AEDC06A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826423" y="5333027"/>
              <a:ext cx="138635" cy="1811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490840</xdr:colOff>
      <xdr:row>35</xdr:row>
      <xdr:rowOff>14920</xdr:rowOff>
    </xdr:from>
    <xdr:to>
      <xdr:col>4</xdr:col>
      <xdr:colOff>494440</xdr:colOff>
      <xdr:row>35</xdr:row>
      <xdr:rowOff>111040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537B741B-F0B9-B63A-C8A4-119DCAD8033E}"/>
                </a:ext>
              </a:extLst>
            </xdr14:cNvPr>
            <xdr14:cNvContentPartPr/>
          </xdr14:nvContentPartPr>
          <xdr14:nvPr macro=""/>
          <xdr14:xfrm>
            <a:off x="3488040" y="7126920"/>
            <a:ext cx="3600" cy="96120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537B741B-F0B9-B63A-C8A4-119DCAD8033E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481920" y="7120800"/>
              <a:ext cx="15840" cy="10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547000</xdr:colOff>
      <xdr:row>35</xdr:row>
      <xdr:rowOff>22840</xdr:rowOff>
    </xdr:from>
    <xdr:to>
      <xdr:col>4</xdr:col>
      <xdr:colOff>608200</xdr:colOff>
      <xdr:row>35</xdr:row>
      <xdr:rowOff>188800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E18C1422-71FD-6469-D729-C2DB515C8157}"/>
                </a:ext>
              </a:extLst>
            </xdr14:cNvPr>
            <xdr14:cNvContentPartPr/>
          </xdr14:nvContentPartPr>
          <xdr14:nvPr macro=""/>
          <xdr14:xfrm>
            <a:off x="3544200" y="7134840"/>
            <a:ext cx="61200" cy="165960"/>
          </xdr14:xfrm>
        </xdr:contentPart>
      </mc:Choice>
      <mc:Fallback xmlns=""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E18C1422-71FD-6469-D729-C2DB515C8157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538080" y="7128720"/>
              <a:ext cx="7344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1087720</xdr:colOff>
      <xdr:row>24</xdr:row>
      <xdr:rowOff>133320</xdr:rowOff>
    </xdr:from>
    <xdr:to>
      <xdr:col>4</xdr:col>
      <xdr:colOff>1090240</xdr:colOff>
      <xdr:row>25</xdr:row>
      <xdr:rowOff>41000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A2C04235-279C-8B20-6019-F2B50295E690}"/>
                </a:ext>
              </a:extLst>
            </xdr14:cNvPr>
            <xdr14:cNvContentPartPr/>
          </xdr14:nvContentPartPr>
          <xdr14:nvPr macro=""/>
          <xdr14:xfrm>
            <a:off x="4084920" y="5010120"/>
            <a:ext cx="2520" cy="110880"/>
          </xdr14:xfrm>
        </xdr:contentPart>
      </mc:Choice>
      <mc:Fallback xmlns=""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A2C04235-279C-8B20-6019-F2B50295E690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078800" y="5004000"/>
              <a:ext cx="14760" cy="12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1134160</xdr:colOff>
      <xdr:row>24</xdr:row>
      <xdr:rowOff>130800</xdr:rowOff>
    </xdr:from>
    <xdr:to>
      <xdr:col>4</xdr:col>
      <xdr:colOff>1255840</xdr:colOff>
      <xdr:row>25</xdr:row>
      <xdr:rowOff>77360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C5EA51E8-D69D-2FDA-423E-365BF728374E}"/>
                </a:ext>
              </a:extLst>
            </xdr14:cNvPr>
            <xdr14:cNvContentPartPr/>
          </xdr14:nvContentPartPr>
          <xdr14:nvPr macro=""/>
          <xdr14:xfrm>
            <a:off x="4131360" y="5007600"/>
            <a:ext cx="121680" cy="149760"/>
          </xdr14:xfrm>
        </xdr:contentPart>
      </mc:Choice>
      <mc:Fallback xmlns=""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C5EA51E8-D69D-2FDA-423E-365BF728374E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125240" y="5001480"/>
              <a:ext cx="13392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665800</xdr:colOff>
      <xdr:row>27</xdr:row>
      <xdr:rowOff>79560</xdr:rowOff>
    </xdr:from>
    <xdr:to>
      <xdr:col>4</xdr:col>
      <xdr:colOff>788920</xdr:colOff>
      <xdr:row>28</xdr:row>
      <xdr:rowOff>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602466B7-F09F-E939-3462-80D94E16B4EE}"/>
                </a:ext>
              </a:extLst>
            </xdr14:cNvPr>
            <xdr14:cNvContentPartPr/>
          </xdr14:nvContentPartPr>
          <xdr14:nvPr macro=""/>
          <xdr14:xfrm>
            <a:off x="3663000" y="5565960"/>
            <a:ext cx="123120" cy="130680"/>
          </xdr14:xfrm>
        </xdr:contentPart>
      </mc:Choice>
      <mc:Fallback xmlns=""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602466B7-F09F-E939-3462-80D94E16B4EE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656880" y="5559840"/>
              <a:ext cx="13536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280680</xdr:colOff>
      <xdr:row>26</xdr:row>
      <xdr:rowOff>132640</xdr:rowOff>
    </xdr:from>
    <xdr:to>
      <xdr:col>8</xdr:col>
      <xdr:colOff>286080</xdr:colOff>
      <xdr:row>27</xdr:row>
      <xdr:rowOff>61200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52BBF48F-B1E7-609F-5E02-87FCAC5F52D7}"/>
                </a:ext>
              </a:extLst>
            </xdr14:cNvPr>
            <xdr14:cNvContentPartPr/>
          </xdr14:nvContentPartPr>
          <xdr14:nvPr macro=""/>
          <xdr14:xfrm>
            <a:off x="7291080" y="5415840"/>
            <a:ext cx="5400" cy="131760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52BBF48F-B1E7-609F-5E02-87FCAC5F52D7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7284960" y="5409720"/>
              <a:ext cx="1764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278740</xdr:colOff>
      <xdr:row>29</xdr:row>
      <xdr:rowOff>88600</xdr:rowOff>
    </xdr:from>
    <xdr:to>
      <xdr:col>9</xdr:col>
      <xdr:colOff>387460</xdr:colOff>
      <xdr:row>30</xdr:row>
      <xdr:rowOff>61080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4C3CC778-4B80-13CF-6CB2-275915AEA475}"/>
                </a:ext>
              </a:extLst>
            </xdr14:cNvPr>
            <xdr14:cNvContentPartPr/>
          </xdr14:nvContentPartPr>
          <xdr14:nvPr macro=""/>
          <xdr14:xfrm>
            <a:off x="8038440" y="5981400"/>
            <a:ext cx="108720" cy="17568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4C3CC778-4B80-13CF-6CB2-275915AEA475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8032320" y="5975280"/>
              <a:ext cx="120960" cy="187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2" name="AutoShape 3" descr="\sigma">
          <a:extLst>
            <a:ext uri="{FF2B5EF4-FFF2-40B4-BE49-F238E27FC236}">
              <a16:creationId xmlns:a16="http://schemas.microsoft.com/office/drawing/2014/main" id="{C23A2949-F4AE-4F5C-BC4E-81029206356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3" name="AutoShape 4" descr="\sigma">
          <a:extLst>
            <a:ext uri="{FF2B5EF4-FFF2-40B4-BE49-F238E27FC236}">
              <a16:creationId xmlns:a16="http://schemas.microsoft.com/office/drawing/2014/main" id="{9C97C445-24B6-42DF-8610-427C95B17872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4" name="AutoShape 3" descr="\sigma">
          <a:extLst>
            <a:ext uri="{FF2B5EF4-FFF2-40B4-BE49-F238E27FC236}">
              <a16:creationId xmlns:a16="http://schemas.microsoft.com/office/drawing/2014/main" id="{5FD8EBE7-4B3E-4A39-8DFE-E702A057C1F2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5" name="AutoShape 4" descr="\sigma">
          <a:extLst>
            <a:ext uri="{FF2B5EF4-FFF2-40B4-BE49-F238E27FC236}">
              <a16:creationId xmlns:a16="http://schemas.microsoft.com/office/drawing/2014/main" id="{EEE56F78-9CCE-4E26-937B-E9C23FBA8CA5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6" name="AutoShape 3" descr="\sigma">
          <a:extLst>
            <a:ext uri="{FF2B5EF4-FFF2-40B4-BE49-F238E27FC236}">
              <a16:creationId xmlns:a16="http://schemas.microsoft.com/office/drawing/2014/main" id="{B5420041-8C13-4ACF-8B09-D25BE0A12F62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7" name="AutoShape 4" descr="\sigma">
          <a:extLst>
            <a:ext uri="{FF2B5EF4-FFF2-40B4-BE49-F238E27FC236}">
              <a16:creationId xmlns:a16="http://schemas.microsoft.com/office/drawing/2014/main" id="{ECEF08B3-2B8A-498D-8314-6D6E86FD02C0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8" name="AutoShape 3" descr="\sigma">
          <a:extLst>
            <a:ext uri="{FF2B5EF4-FFF2-40B4-BE49-F238E27FC236}">
              <a16:creationId xmlns:a16="http://schemas.microsoft.com/office/drawing/2014/main" id="{C0FF7839-8FF9-4FDD-8A45-90A84B14CC54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9" name="AutoShape 4" descr="\sigma">
          <a:extLst>
            <a:ext uri="{FF2B5EF4-FFF2-40B4-BE49-F238E27FC236}">
              <a16:creationId xmlns:a16="http://schemas.microsoft.com/office/drawing/2014/main" id="{C0A45763-2A14-4A1A-B42B-25BC201C4F7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10" name="AutoShape 3" descr="\sigma">
          <a:extLst>
            <a:ext uri="{FF2B5EF4-FFF2-40B4-BE49-F238E27FC236}">
              <a16:creationId xmlns:a16="http://schemas.microsoft.com/office/drawing/2014/main" id="{01D061C5-B4EF-41B7-BBE9-72B76862FBA8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11" name="AutoShape 4" descr="\sigma">
          <a:extLst>
            <a:ext uri="{FF2B5EF4-FFF2-40B4-BE49-F238E27FC236}">
              <a16:creationId xmlns:a16="http://schemas.microsoft.com/office/drawing/2014/main" id="{FEAF312E-3566-4CAB-B26F-821403256B8F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12" name="AutoShape 3" descr="\sigma">
          <a:extLst>
            <a:ext uri="{FF2B5EF4-FFF2-40B4-BE49-F238E27FC236}">
              <a16:creationId xmlns:a16="http://schemas.microsoft.com/office/drawing/2014/main" id="{C15F359B-469C-49CE-B165-2410C3C6BA31}"/>
            </a:ext>
          </a:extLst>
        </xdr:cNvPr>
        <xdr:cNvSpPr>
          <a:spLocks noChangeAspect="1" noChangeArrowheads="1"/>
        </xdr:cNvSpPr>
      </xdr:nvSpPr>
      <xdr:spPr bwMode="auto">
        <a:xfrm>
          <a:off x="5499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13" name="AutoShape 4" descr="\sigma">
          <a:extLst>
            <a:ext uri="{FF2B5EF4-FFF2-40B4-BE49-F238E27FC236}">
              <a16:creationId xmlns:a16="http://schemas.microsoft.com/office/drawing/2014/main" id="{8A54F147-86A6-4BD1-B7BA-4096BE29647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14" name="AutoShape 3" descr="\sigma">
          <a:extLst>
            <a:ext uri="{FF2B5EF4-FFF2-40B4-BE49-F238E27FC236}">
              <a16:creationId xmlns:a16="http://schemas.microsoft.com/office/drawing/2014/main" id="{FADFBFFE-A896-4B42-825F-B0E4D0A59AF1}"/>
            </a:ext>
          </a:extLst>
        </xdr:cNvPr>
        <xdr:cNvSpPr>
          <a:spLocks noChangeAspect="1" noChangeArrowheads="1"/>
        </xdr:cNvSpPr>
      </xdr:nvSpPr>
      <xdr:spPr bwMode="auto">
        <a:xfrm>
          <a:off x="5499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15" name="AutoShape 4" descr="\sigma">
          <a:extLst>
            <a:ext uri="{FF2B5EF4-FFF2-40B4-BE49-F238E27FC236}">
              <a16:creationId xmlns:a16="http://schemas.microsoft.com/office/drawing/2014/main" id="{5A12CAA2-168D-4E5D-AA5B-BFB90E5ABA0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16" name="AutoShape 3" descr="\sigma">
          <a:extLst>
            <a:ext uri="{FF2B5EF4-FFF2-40B4-BE49-F238E27FC236}">
              <a16:creationId xmlns:a16="http://schemas.microsoft.com/office/drawing/2014/main" id="{64571AB5-FF67-454F-8753-E0A9C384FEE2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17" name="AutoShape 4" descr="\sigma">
          <a:extLst>
            <a:ext uri="{FF2B5EF4-FFF2-40B4-BE49-F238E27FC236}">
              <a16:creationId xmlns:a16="http://schemas.microsoft.com/office/drawing/2014/main" id="{DC860221-3CBE-41D6-83E9-326643D64226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18" name="AutoShape 3" descr="\sigma">
          <a:extLst>
            <a:ext uri="{FF2B5EF4-FFF2-40B4-BE49-F238E27FC236}">
              <a16:creationId xmlns:a16="http://schemas.microsoft.com/office/drawing/2014/main" id="{4FBC6FF1-F34D-4744-95FE-FEFA927F002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19" name="AutoShape 4" descr="\sigma">
          <a:extLst>
            <a:ext uri="{FF2B5EF4-FFF2-40B4-BE49-F238E27FC236}">
              <a16:creationId xmlns:a16="http://schemas.microsoft.com/office/drawing/2014/main" id="{F4A4D7B9-C51C-4A1D-AD5C-F6295BC84015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20" name="AutoShape 3" descr="\sigma">
          <a:extLst>
            <a:ext uri="{FF2B5EF4-FFF2-40B4-BE49-F238E27FC236}">
              <a16:creationId xmlns:a16="http://schemas.microsoft.com/office/drawing/2014/main" id="{7C4F182A-DFC0-4966-AF48-62EDCDDB5C4F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21" name="AutoShape 4" descr="\sigma">
          <a:extLst>
            <a:ext uri="{FF2B5EF4-FFF2-40B4-BE49-F238E27FC236}">
              <a16:creationId xmlns:a16="http://schemas.microsoft.com/office/drawing/2014/main" id="{A41B0783-7BE5-424D-A06A-162A1A8C6B17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22" name="AutoShape 3" descr="\sigma">
          <a:extLst>
            <a:ext uri="{FF2B5EF4-FFF2-40B4-BE49-F238E27FC236}">
              <a16:creationId xmlns:a16="http://schemas.microsoft.com/office/drawing/2014/main" id="{6007104D-B703-43E8-9C4B-54A86F8F2081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23" name="AutoShape 4" descr="\sigma">
          <a:extLst>
            <a:ext uri="{FF2B5EF4-FFF2-40B4-BE49-F238E27FC236}">
              <a16:creationId xmlns:a16="http://schemas.microsoft.com/office/drawing/2014/main" id="{222C8C85-B886-4012-B012-2FA9865A5AA9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24" name="AutoShape 3" descr="\sigma">
          <a:extLst>
            <a:ext uri="{FF2B5EF4-FFF2-40B4-BE49-F238E27FC236}">
              <a16:creationId xmlns:a16="http://schemas.microsoft.com/office/drawing/2014/main" id="{F4B22CE2-95A6-4298-ACF4-65AFDF2348A3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25" name="AutoShape 4" descr="\sigma">
          <a:extLst>
            <a:ext uri="{FF2B5EF4-FFF2-40B4-BE49-F238E27FC236}">
              <a16:creationId xmlns:a16="http://schemas.microsoft.com/office/drawing/2014/main" id="{9FFCB897-2AE2-4AC2-B3A8-C75A19B8D853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26" name="AutoShape 3" descr="\sigma">
          <a:extLst>
            <a:ext uri="{FF2B5EF4-FFF2-40B4-BE49-F238E27FC236}">
              <a16:creationId xmlns:a16="http://schemas.microsoft.com/office/drawing/2014/main" id="{D7F502F2-7A1F-419B-BC82-5B11D2217409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27" name="AutoShape 4" descr="\sigma">
          <a:extLst>
            <a:ext uri="{FF2B5EF4-FFF2-40B4-BE49-F238E27FC236}">
              <a16:creationId xmlns:a16="http://schemas.microsoft.com/office/drawing/2014/main" id="{B9FD476C-35AE-443E-B6B8-4D6064475B49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28" name="AutoShape 3" descr="\sigma">
          <a:extLst>
            <a:ext uri="{FF2B5EF4-FFF2-40B4-BE49-F238E27FC236}">
              <a16:creationId xmlns:a16="http://schemas.microsoft.com/office/drawing/2014/main" id="{6D645811-BC87-42A3-B4B7-56A3F191D6BF}"/>
            </a:ext>
          </a:extLst>
        </xdr:cNvPr>
        <xdr:cNvSpPr>
          <a:spLocks noChangeAspect="1" noChangeArrowheads="1"/>
        </xdr:cNvSpPr>
      </xdr:nvSpPr>
      <xdr:spPr bwMode="auto">
        <a:xfrm>
          <a:off x="5499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29" name="AutoShape 4" descr="\sigma">
          <a:extLst>
            <a:ext uri="{FF2B5EF4-FFF2-40B4-BE49-F238E27FC236}">
              <a16:creationId xmlns:a16="http://schemas.microsoft.com/office/drawing/2014/main" id="{081AF693-14E8-4A8F-BC8E-0D1A6C68B42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30" name="AutoShape 3" descr="\sigma">
          <a:extLst>
            <a:ext uri="{FF2B5EF4-FFF2-40B4-BE49-F238E27FC236}">
              <a16:creationId xmlns:a16="http://schemas.microsoft.com/office/drawing/2014/main" id="{786DCCCC-337D-441E-99A7-B14B4418ED9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31" name="AutoShape 4" descr="\sigma">
          <a:extLst>
            <a:ext uri="{FF2B5EF4-FFF2-40B4-BE49-F238E27FC236}">
              <a16:creationId xmlns:a16="http://schemas.microsoft.com/office/drawing/2014/main" id="{6DD2F720-72BA-4818-BF6F-668321963B6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32" name="AutoShape 3" descr="\sigma">
          <a:extLst>
            <a:ext uri="{FF2B5EF4-FFF2-40B4-BE49-F238E27FC236}">
              <a16:creationId xmlns:a16="http://schemas.microsoft.com/office/drawing/2014/main" id="{63B90C6C-BDB6-4BD0-B52E-8451407C7497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33" name="AutoShape 4" descr="\sigma">
          <a:extLst>
            <a:ext uri="{FF2B5EF4-FFF2-40B4-BE49-F238E27FC236}">
              <a16:creationId xmlns:a16="http://schemas.microsoft.com/office/drawing/2014/main" id="{2FFA6AA7-8206-473C-BAD3-147868DE617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34" name="AutoShape 3" descr="\sigma">
          <a:extLst>
            <a:ext uri="{FF2B5EF4-FFF2-40B4-BE49-F238E27FC236}">
              <a16:creationId xmlns:a16="http://schemas.microsoft.com/office/drawing/2014/main" id="{1872836A-6279-4DCC-AFD4-8A7B9D09CD2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35" name="AutoShape 4" descr="\sigma">
          <a:extLst>
            <a:ext uri="{FF2B5EF4-FFF2-40B4-BE49-F238E27FC236}">
              <a16:creationId xmlns:a16="http://schemas.microsoft.com/office/drawing/2014/main" id="{CD57EE3F-B038-4B3F-A9C1-4E2C30652FF0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36" name="AutoShape 3" descr="\sigma">
          <a:extLst>
            <a:ext uri="{FF2B5EF4-FFF2-40B4-BE49-F238E27FC236}">
              <a16:creationId xmlns:a16="http://schemas.microsoft.com/office/drawing/2014/main" id="{D5F2CEAF-8017-4718-8863-F53E5C8DD500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37" name="AutoShape 4" descr="\sigma">
          <a:extLst>
            <a:ext uri="{FF2B5EF4-FFF2-40B4-BE49-F238E27FC236}">
              <a16:creationId xmlns:a16="http://schemas.microsoft.com/office/drawing/2014/main" id="{89ABF94F-1860-4F62-96D9-2D5C4290B67B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38" name="AutoShape 3" descr="\sigma">
          <a:extLst>
            <a:ext uri="{FF2B5EF4-FFF2-40B4-BE49-F238E27FC236}">
              <a16:creationId xmlns:a16="http://schemas.microsoft.com/office/drawing/2014/main" id="{C24B83D2-D9B9-4CCD-80EC-F0B0DD619254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39" name="AutoShape 4" descr="\sigma">
          <a:extLst>
            <a:ext uri="{FF2B5EF4-FFF2-40B4-BE49-F238E27FC236}">
              <a16:creationId xmlns:a16="http://schemas.microsoft.com/office/drawing/2014/main" id="{F8440C9D-8ADB-466F-97E8-3FDBE4693283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0" name="AutoShape 3" descr="\sigma">
          <a:extLst>
            <a:ext uri="{FF2B5EF4-FFF2-40B4-BE49-F238E27FC236}">
              <a16:creationId xmlns:a16="http://schemas.microsoft.com/office/drawing/2014/main" id="{A469BA4C-A3CA-4A51-94C9-4AB63554D1E1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1" name="AutoShape 4" descr="\sigma">
          <a:extLst>
            <a:ext uri="{FF2B5EF4-FFF2-40B4-BE49-F238E27FC236}">
              <a16:creationId xmlns:a16="http://schemas.microsoft.com/office/drawing/2014/main" id="{F5CC749B-B7FD-4BA5-A618-A3DB62E90E51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2" name="AutoShape 3" descr="\sigma">
          <a:extLst>
            <a:ext uri="{FF2B5EF4-FFF2-40B4-BE49-F238E27FC236}">
              <a16:creationId xmlns:a16="http://schemas.microsoft.com/office/drawing/2014/main" id="{0AECA75A-1DA4-425B-839B-ABCBF809836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3" name="AutoShape 4" descr="\sigma">
          <a:extLst>
            <a:ext uri="{FF2B5EF4-FFF2-40B4-BE49-F238E27FC236}">
              <a16:creationId xmlns:a16="http://schemas.microsoft.com/office/drawing/2014/main" id="{C194AACE-5D83-4F73-BA17-48F8F887DBB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44" name="AutoShape 3" descr="\sigma">
          <a:extLst>
            <a:ext uri="{FF2B5EF4-FFF2-40B4-BE49-F238E27FC236}">
              <a16:creationId xmlns:a16="http://schemas.microsoft.com/office/drawing/2014/main" id="{9CD8D87E-A16A-459F-B9A5-A5D2713CE99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45" name="AutoShape 4" descr="\sigma">
          <a:extLst>
            <a:ext uri="{FF2B5EF4-FFF2-40B4-BE49-F238E27FC236}">
              <a16:creationId xmlns:a16="http://schemas.microsoft.com/office/drawing/2014/main" id="{26794E2D-6027-4ECA-9A5C-680DB392F435}"/>
            </a:ext>
          </a:extLst>
        </xdr:cNvPr>
        <xdr:cNvSpPr>
          <a:spLocks noChangeAspect="1" noChangeArrowheads="1"/>
        </xdr:cNvSpPr>
      </xdr:nvSpPr>
      <xdr:spPr bwMode="auto">
        <a:xfrm>
          <a:off x="54991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46" name="AutoShape 3" descr="\sigma">
          <a:extLst>
            <a:ext uri="{FF2B5EF4-FFF2-40B4-BE49-F238E27FC236}">
              <a16:creationId xmlns:a16="http://schemas.microsoft.com/office/drawing/2014/main" id="{674FF3E4-1256-4430-A5DC-8BEC3F183345}"/>
            </a:ext>
          </a:extLst>
        </xdr:cNvPr>
        <xdr:cNvSpPr>
          <a:spLocks noChangeAspect="1" noChangeArrowheads="1"/>
        </xdr:cNvSpPr>
      </xdr:nvSpPr>
      <xdr:spPr bwMode="auto">
        <a:xfrm>
          <a:off x="54991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47" name="AutoShape 4" descr="\sigma">
          <a:extLst>
            <a:ext uri="{FF2B5EF4-FFF2-40B4-BE49-F238E27FC236}">
              <a16:creationId xmlns:a16="http://schemas.microsoft.com/office/drawing/2014/main" id="{06F8208B-3F6E-4E0B-9D65-D0DD1D2FFE80}"/>
            </a:ext>
          </a:extLst>
        </xdr:cNvPr>
        <xdr:cNvSpPr>
          <a:spLocks noChangeAspect="1" noChangeArrowheads="1"/>
        </xdr:cNvSpPr>
      </xdr:nvSpPr>
      <xdr:spPr bwMode="auto">
        <a:xfrm>
          <a:off x="54991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48" name="AutoShape 3" descr="\sigma">
          <a:extLst>
            <a:ext uri="{FF2B5EF4-FFF2-40B4-BE49-F238E27FC236}">
              <a16:creationId xmlns:a16="http://schemas.microsoft.com/office/drawing/2014/main" id="{DEDA91A5-4036-4E6F-B7DA-F44C648A5465}"/>
            </a:ext>
          </a:extLst>
        </xdr:cNvPr>
        <xdr:cNvSpPr>
          <a:spLocks noChangeAspect="1" noChangeArrowheads="1"/>
        </xdr:cNvSpPr>
      </xdr:nvSpPr>
      <xdr:spPr bwMode="auto">
        <a:xfrm>
          <a:off x="54991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49" name="AutoShape 4" descr="\sigma">
          <a:extLst>
            <a:ext uri="{FF2B5EF4-FFF2-40B4-BE49-F238E27FC236}">
              <a16:creationId xmlns:a16="http://schemas.microsoft.com/office/drawing/2014/main" id="{8AA07024-9EDE-4270-85E6-695B433AA3EB}"/>
            </a:ext>
          </a:extLst>
        </xdr:cNvPr>
        <xdr:cNvSpPr>
          <a:spLocks noChangeAspect="1" noChangeArrowheads="1"/>
        </xdr:cNvSpPr>
      </xdr:nvSpPr>
      <xdr:spPr bwMode="auto">
        <a:xfrm>
          <a:off x="54991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50" name="AutoShape 3" descr="\sigma">
          <a:extLst>
            <a:ext uri="{FF2B5EF4-FFF2-40B4-BE49-F238E27FC236}">
              <a16:creationId xmlns:a16="http://schemas.microsoft.com/office/drawing/2014/main" id="{80108855-09B3-420F-BDAF-6C15AEBE3118}"/>
            </a:ext>
          </a:extLst>
        </xdr:cNvPr>
        <xdr:cNvSpPr>
          <a:spLocks noChangeAspect="1" noChangeArrowheads="1"/>
        </xdr:cNvSpPr>
      </xdr:nvSpPr>
      <xdr:spPr bwMode="auto">
        <a:xfrm>
          <a:off x="54991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51" name="AutoShape 4" descr="\sigma">
          <a:extLst>
            <a:ext uri="{FF2B5EF4-FFF2-40B4-BE49-F238E27FC236}">
              <a16:creationId xmlns:a16="http://schemas.microsoft.com/office/drawing/2014/main" id="{9282F404-89A7-4E40-AA71-DB07F4D76C23}"/>
            </a:ext>
          </a:extLst>
        </xdr:cNvPr>
        <xdr:cNvSpPr>
          <a:spLocks noChangeAspect="1" noChangeArrowheads="1"/>
        </xdr:cNvSpPr>
      </xdr:nvSpPr>
      <xdr:spPr bwMode="auto">
        <a:xfrm>
          <a:off x="54991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52" name="AutoShape 3" descr="\sigma">
          <a:extLst>
            <a:ext uri="{FF2B5EF4-FFF2-40B4-BE49-F238E27FC236}">
              <a16:creationId xmlns:a16="http://schemas.microsoft.com/office/drawing/2014/main" id="{523638BF-7268-4BC8-8107-3CE125A60519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53" name="AutoShape 4" descr="\sigma">
          <a:extLst>
            <a:ext uri="{FF2B5EF4-FFF2-40B4-BE49-F238E27FC236}">
              <a16:creationId xmlns:a16="http://schemas.microsoft.com/office/drawing/2014/main" id="{BDC14BF1-32B1-4B1A-8364-463F3A07AF93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54" name="AutoShape 3" descr="\sigma">
          <a:extLst>
            <a:ext uri="{FF2B5EF4-FFF2-40B4-BE49-F238E27FC236}">
              <a16:creationId xmlns:a16="http://schemas.microsoft.com/office/drawing/2014/main" id="{F006BADE-BA03-44E7-884B-6CBD803DFBD2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55" name="AutoShape 4" descr="\sigma">
          <a:extLst>
            <a:ext uri="{FF2B5EF4-FFF2-40B4-BE49-F238E27FC236}">
              <a16:creationId xmlns:a16="http://schemas.microsoft.com/office/drawing/2014/main" id="{26DE7BA5-31F7-4AD0-8383-C035207E9C50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" name="AutoShape 3" descr="\sigma">
          <a:extLst>
            <a:ext uri="{FF2B5EF4-FFF2-40B4-BE49-F238E27FC236}">
              <a16:creationId xmlns:a16="http://schemas.microsoft.com/office/drawing/2014/main" id="{350D35A5-B06E-485E-9834-FD51EB60F18F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" name="AutoShape 4" descr="\sigma">
          <a:extLst>
            <a:ext uri="{FF2B5EF4-FFF2-40B4-BE49-F238E27FC236}">
              <a16:creationId xmlns:a16="http://schemas.microsoft.com/office/drawing/2014/main" id="{8D346C5C-1DE7-4AEE-BA95-2F62A2A7B7B9}"/>
            </a:ext>
          </a:extLst>
        </xdr:cNvPr>
        <xdr:cNvSpPr>
          <a:spLocks noChangeAspect="1" noChangeArrowheads="1"/>
        </xdr:cNvSpPr>
      </xdr:nvSpPr>
      <xdr:spPr bwMode="auto">
        <a:xfrm>
          <a:off x="54991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60" name="AutoShape 3" descr="\sigma">
          <a:extLst>
            <a:ext uri="{FF2B5EF4-FFF2-40B4-BE49-F238E27FC236}">
              <a16:creationId xmlns:a16="http://schemas.microsoft.com/office/drawing/2014/main" id="{7DA41886-BDE8-44C1-AC41-98C85078A2A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800"/>
    <xdr:sp macro="" textlink="">
      <xdr:nvSpPr>
        <xdr:cNvPr id="61" name="AutoShape 4" descr="\sigma">
          <a:extLst>
            <a:ext uri="{FF2B5EF4-FFF2-40B4-BE49-F238E27FC236}">
              <a16:creationId xmlns:a16="http://schemas.microsoft.com/office/drawing/2014/main" id="{37BB6BD1-DEF2-4F01-BBB9-FA97EFB5CC04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62" name="AutoShape 3" descr="\sigma">
          <a:extLst>
            <a:ext uri="{FF2B5EF4-FFF2-40B4-BE49-F238E27FC236}">
              <a16:creationId xmlns:a16="http://schemas.microsoft.com/office/drawing/2014/main" id="{3A84B3F9-2398-4D9D-B37F-D3AC5095E2C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63" name="AutoShape 4" descr="\sigma">
          <a:extLst>
            <a:ext uri="{FF2B5EF4-FFF2-40B4-BE49-F238E27FC236}">
              <a16:creationId xmlns:a16="http://schemas.microsoft.com/office/drawing/2014/main" id="{8025F3BB-E536-4628-9ABA-DB5E1921EDDF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64" name="AutoShape 3" descr="\sigma">
          <a:extLst>
            <a:ext uri="{FF2B5EF4-FFF2-40B4-BE49-F238E27FC236}">
              <a16:creationId xmlns:a16="http://schemas.microsoft.com/office/drawing/2014/main" id="{02BF8BD7-7B31-446D-BA1B-A2C44DE4729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800"/>
    <xdr:sp macro="" textlink="">
      <xdr:nvSpPr>
        <xdr:cNvPr id="65" name="AutoShape 4" descr="\sigma">
          <a:extLst>
            <a:ext uri="{FF2B5EF4-FFF2-40B4-BE49-F238E27FC236}">
              <a16:creationId xmlns:a16="http://schemas.microsoft.com/office/drawing/2014/main" id="{32734EF3-7FB6-4618-855F-7D94F2D5F5F4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66" name="AutoShape 3" descr="\sigma">
          <a:extLst>
            <a:ext uri="{FF2B5EF4-FFF2-40B4-BE49-F238E27FC236}">
              <a16:creationId xmlns:a16="http://schemas.microsoft.com/office/drawing/2014/main" id="{98DAB958-745A-4C8F-9CAF-C774AC41CEA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67" name="AutoShape 4" descr="\sigma">
          <a:extLst>
            <a:ext uri="{FF2B5EF4-FFF2-40B4-BE49-F238E27FC236}">
              <a16:creationId xmlns:a16="http://schemas.microsoft.com/office/drawing/2014/main" id="{D6AA2068-A03C-4B27-9E9A-99F9F2F84067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68" name="AutoShape 3" descr="\sigma">
          <a:extLst>
            <a:ext uri="{FF2B5EF4-FFF2-40B4-BE49-F238E27FC236}">
              <a16:creationId xmlns:a16="http://schemas.microsoft.com/office/drawing/2014/main" id="{F2FD0F88-B6C0-4843-BA1D-D6B5DCCBA8D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69" name="AutoShape 4" descr="\sigma">
          <a:extLst>
            <a:ext uri="{FF2B5EF4-FFF2-40B4-BE49-F238E27FC236}">
              <a16:creationId xmlns:a16="http://schemas.microsoft.com/office/drawing/2014/main" id="{50B40B3A-8538-41BE-A2F2-D9F11DA6E0CF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70" name="AutoShape 3" descr="\sigma">
          <a:extLst>
            <a:ext uri="{FF2B5EF4-FFF2-40B4-BE49-F238E27FC236}">
              <a16:creationId xmlns:a16="http://schemas.microsoft.com/office/drawing/2014/main" id="{0B6E4303-5843-40CF-8E9E-676C79C62504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0</xdr:rowOff>
    </xdr:from>
    <xdr:ext cx="304800" cy="304800"/>
    <xdr:sp macro="" textlink="">
      <xdr:nvSpPr>
        <xdr:cNvPr id="71" name="AutoShape 4" descr="\sigma">
          <a:extLst>
            <a:ext uri="{FF2B5EF4-FFF2-40B4-BE49-F238E27FC236}">
              <a16:creationId xmlns:a16="http://schemas.microsoft.com/office/drawing/2014/main" id="{70FFC326-9ACA-4C19-9515-A951044F3F15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72" name="AutoShape 3" descr="\sigma">
          <a:extLst>
            <a:ext uri="{FF2B5EF4-FFF2-40B4-BE49-F238E27FC236}">
              <a16:creationId xmlns:a16="http://schemas.microsoft.com/office/drawing/2014/main" id="{26A78077-01F3-4B63-8920-50BCB31981C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73" name="AutoShape 4" descr="\sigma">
          <a:extLst>
            <a:ext uri="{FF2B5EF4-FFF2-40B4-BE49-F238E27FC236}">
              <a16:creationId xmlns:a16="http://schemas.microsoft.com/office/drawing/2014/main" id="{CED2896F-FE18-4C25-886C-419341D3CE6A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74" name="AutoShape 3" descr="\sigma">
          <a:extLst>
            <a:ext uri="{FF2B5EF4-FFF2-40B4-BE49-F238E27FC236}">
              <a16:creationId xmlns:a16="http://schemas.microsoft.com/office/drawing/2014/main" id="{402956C9-27B6-4A11-9CE9-CB182926F7A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75" name="AutoShape 4" descr="\sigma">
          <a:extLst>
            <a:ext uri="{FF2B5EF4-FFF2-40B4-BE49-F238E27FC236}">
              <a16:creationId xmlns:a16="http://schemas.microsoft.com/office/drawing/2014/main" id="{27141257-05B0-49DC-B9AE-F579D6526B13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76" name="AutoShape 3" descr="\sigma">
          <a:extLst>
            <a:ext uri="{FF2B5EF4-FFF2-40B4-BE49-F238E27FC236}">
              <a16:creationId xmlns:a16="http://schemas.microsoft.com/office/drawing/2014/main" id="{45DA9855-BC88-4045-A3A0-63A62F07D63F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77" name="AutoShape 4" descr="\sigma">
          <a:extLst>
            <a:ext uri="{FF2B5EF4-FFF2-40B4-BE49-F238E27FC236}">
              <a16:creationId xmlns:a16="http://schemas.microsoft.com/office/drawing/2014/main" id="{304AAE17-7716-430B-8931-FD67D3FD103B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8" name="AutoShape 3" descr="\sigma">
          <a:extLst>
            <a:ext uri="{FF2B5EF4-FFF2-40B4-BE49-F238E27FC236}">
              <a16:creationId xmlns:a16="http://schemas.microsoft.com/office/drawing/2014/main" id="{0186A709-05E2-4AA9-A13C-71A5B0DFDC38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9" name="AutoShape 4" descr="\sigma">
          <a:extLst>
            <a:ext uri="{FF2B5EF4-FFF2-40B4-BE49-F238E27FC236}">
              <a16:creationId xmlns:a16="http://schemas.microsoft.com/office/drawing/2014/main" id="{995ED613-5C0F-44C8-A62D-9B4EE512BAF8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80" name="AutoShape 3" descr="\sigma">
          <a:extLst>
            <a:ext uri="{FF2B5EF4-FFF2-40B4-BE49-F238E27FC236}">
              <a16:creationId xmlns:a16="http://schemas.microsoft.com/office/drawing/2014/main" id="{90B6008C-3C11-40FE-8A29-69C586F35F64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81" name="AutoShape 4" descr="\sigma">
          <a:extLst>
            <a:ext uri="{FF2B5EF4-FFF2-40B4-BE49-F238E27FC236}">
              <a16:creationId xmlns:a16="http://schemas.microsoft.com/office/drawing/2014/main" id="{5C8A860C-2E04-47AF-ABBE-05C2B55A52A8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82" name="AutoShape 3" descr="\sigma">
          <a:extLst>
            <a:ext uri="{FF2B5EF4-FFF2-40B4-BE49-F238E27FC236}">
              <a16:creationId xmlns:a16="http://schemas.microsoft.com/office/drawing/2014/main" id="{BF3906FF-50B3-4CE7-B1F4-3A71979FDB16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83" name="AutoShape 4" descr="\sigma">
          <a:extLst>
            <a:ext uri="{FF2B5EF4-FFF2-40B4-BE49-F238E27FC236}">
              <a16:creationId xmlns:a16="http://schemas.microsoft.com/office/drawing/2014/main" id="{9B4493EE-6CDD-43A5-8806-9554F2C9C55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84" name="AutoShape 3" descr="\sigma">
          <a:extLst>
            <a:ext uri="{FF2B5EF4-FFF2-40B4-BE49-F238E27FC236}">
              <a16:creationId xmlns:a16="http://schemas.microsoft.com/office/drawing/2014/main" id="{3B2CE1BD-A6B0-463D-8A2A-A8F24448423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85" name="AutoShape 4" descr="\sigma">
          <a:extLst>
            <a:ext uri="{FF2B5EF4-FFF2-40B4-BE49-F238E27FC236}">
              <a16:creationId xmlns:a16="http://schemas.microsoft.com/office/drawing/2014/main" id="{F3E21DAC-9657-42C9-8E60-3FA8CE31E9E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86" name="AutoShape 3" descr="\sigma">
          <a:extLst>
            <a:ext uri="{FF2B5EF4-FFF2-40B4-BE49-F238E27FC236}">
              <a16:creationId xmlns:a16="http://schemas.microsoft.com/office/drawing/2014/main" id="{79F3A3AD-0581-4256-BBA8-E71397D4807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87" name="AutoShape 4" descr="\sigma">
          <a:extLst>
            <a:ext uri="{FF2B5EF4-FFF2-40B4-BE49-F238E27FC236}">
              <a16:creationId xmlns:a16="http://schemas.microsoft.com/office/drawing/2014/main" id="{0556281D-4656-4144-BA08-2BBCEEE4417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88" name="AutoShape 3" descr="\sigma">
          <a:extLst>
            <a:ext uri="{FF2B5EF4-FFF2-40B4-BE49-F238E27FC236}">
              <a16:creationId xmlns:a16="http://schemas.microsoft.com/office/drawing/2014/main" id="{CEA85937-3CA3-4C01-BF34-9B0CF31FB023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89" name="AutoShape 4" descr="\sigma">
          <a:extLst>
            <a:ext uri="{FF2B5EF4-FFF2-40B4-BE49-F238E27FC236}">
              <a16:creationId xmlns:a16="http://schemas.microsoft.com/office/drawing/2014/main" id="{AC2950B5-ED31-4551-B22C-CD6AF82D80F1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90" name="AutoShape 3" descr="\sigma">
          <a:extLst>
            <a:ext uri="{FF2B5EF4-FFF2-40B4-BE49-F238E27FC236}">
              <a16:creationId xmlns:a16="http://schemas.microsoft.com/office/drawing/2014/main" id="{3C9157DA-F317-47AB-9B7A-9713A69499E9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91" name="AutoShape 4" descr="\sigma">
          <a:extLst>
            <a:ext uri="{FF2B5EF4-FFF2-40B4-BE49-F238E27FC236}">
              <a16:creationId xmlns:a16="http://schemas.microsoft.com/office/drawing/2014/main" id="{7027BC57-B3F9-44E7-A483-CCF6079857E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92" name="AutoShape 3" descr="\sigma">
          <a:extLst>
            <a:ext uri="{FF2B5EF4-FFF2-40B4-BE49-F238E27FC236}">
              <a16:creationId xmlns:a16="http://schemas.microsoft.com/office/drawing/2014/main" id="{71260C42-E272-4A6A-B8F8-761BE9E9E647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93" name="AutoShape 4" descr="\sigma">
          <a:extLst>
            <a:ext uri="{FF2B5EF4-FFF2-40B4-BE49-F238E27FC236}">
              <a16:creationId xmlns:a16="http://schemas.microsoft.com/office/drawing/2014/main" id="{4FAFE5C1-C44A-4D46-B3AD-F74EC34400D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94" name="AutoShape 3" descr="\sigma">
          <a:extLst>
            <a:ext uri="{FF2B5EF4-FFF2-40B4-BE49-F238E27FC236}">
              <a16:creationId xmlns:a16="http://schemas.microsoft.com/office/drawing/2014/main" id="{9D37D564-660D-4D2D-ADC0-74492EAA367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95" name="AutoShape 4" descr="\sigma">
          <a:extLst>
            <a:ext uri="{FF2B5EF4-FFF2-40B4-BE49-F238E27FC236}">
              <a16:creationId xmlns:a16="http://schemas.microsoft.com/office/drawing/2014/main" id="{3A8E0E31-7212-4377-AFE9-0ADFF76453CA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96" name="AutoShape 3" descr="\sigma">
          <a:extLst>
            <a:ext uri="{FF2B5EF4-FFF2-40B4-BE49-F238E27FC236}">
              <a16:creationId xmlns:a16="http://schemas.microsoft.com/office/drawing/2014/main" id="{186B260A-ED7D-493A-AAEB-31211DD8F2A4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97" name="AutoShape 4" descr="\sigma">
          <a:extLst>
            <a:ext uri="{FF2B5EF4-FFF2-40B4-BE49-F238E27FC236}">
              <a16:creationId xmlns:a16="http://schemas.microsoft.com/office/drawing/2014/main" id="{AD03118A-D6F4-4020-AB0F-3232D82A489B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98" name="AutoShape 3" descr="\sigma">
          <a:extLst>
            <a:ext uri="{FF2B5EF4-FFF2-40B4-BE49-F238E27FC236}">
              <a16:creationId xmlns:a16="http://schemas.microsoft.com/office/drawing/2014/main" id="{E79876AF-B2CD-4D5C-BBB4-98A3B03E3B76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99" name="AutoShape 4" descr="\sigma">
          <a:extLst>
            <a:ext uri="{FF2B5EF4-FFF2-40B4-BE49-F238E27FC236}">
              <a16:creationId xmlns:a16="http://schemas.microsoft.com/office/drawing/2014/main" id="{69E1C577-1380-45C1-906B-117700364C1A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100" name="AutoShape 3" descr="\sigma">
          <a:extLst>
            <a:ext uri="{FF2B5EF4-FFF2-40B4-BE49-F238E27FC236}">
              <a16:creationId xmlns:a16="http://schemas.microsoft.com/office/drawing/2014/main" id="{51E2EBE3-B26F-4D7F-898C-E3A6B92BC79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101" name="AutoShape 4" descr="\sigma">
          <a:extLst>
            <a:ext uri="{FF2B5EF4-FFF2-40B4-BE49-F238E27FC236}">
              <a16:creationId xmlns:a16="http://schemas.microsoft.com/office/drawing/2014/main" id="{04F8DB25-EF03-4B4E-B19D-CDDAFC0C61D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102" name="AutoShape 3" descr="\sigma">
          <a:extLst>
            <a:ext uri="{FF2B5EF4-FFF2-40B4-BE49-F238E27FC236}">
              <a16:creationId xmlns:a16="http://schemas.microsoft.com/office/drawing/2014/main" id="{1F7D8D41-2443-406C-81F1-71C28BE1B7D4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103" name="AutoShape 4" descr="\sigma">
          <a:extLst>
            <a:ext uri="{FF2B5EF4-FFF2-40B4-BE49-F238E27FC236}">
              <a16:creationId xmlns:a16="http://schemas.microsoft.com/office/drawing/2014/main" id="{5294B0BA-B8D9-4609-94BC-F910B136A69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104" name="AutoShape 3" descr="\sigma">
          <a:extLst>
            <a:ext uri="{FF2B5EF4-FFF2-40B4-BE49-F238E27FC236}">
              <a16:creationId xmlns:a16="http://schemas.microsoft.com/office/drawing/2014/main" id="{0097AAE9-C4E2-46F1-B668-677820E9C856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105" name="AutoShape 4" descr="\sigma">
          <a:extLst>
            <a:ext uri="{FF2B5EF4-FFF2-40B4-BE49-F238E27FC236}">
              <a16:creationId xmlns:a16="http://schemas.microsoft.com/office/drawing/2014/main" id="{AB06F9AF-274F-4A59-AE7B-E57D79863A45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106" name="AutoShape 3" descr="\sigma">
          <a:extLst>
            <a:ext uri="{FF2B5EF4-FFF2-40B4-BE49-F238E27FC236}">
              <a16:creationId xmlns:a16="http://schemas.microsoft.com/office/drawing/2014/main" id="{92F2CC7B-8B6B-4FA2-A241-C526CF2962B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107" name="AutoShape 4" descr="\sigma">
          <a:extLst>
            <a:ext uri="{FF2B5EF4-FFF2-40B4-BE49-F238E27FC236}">
              <a16:creationId xmlns:a16="http://schemas.microsoft.com/office/drawing/2014/main" id="{82718189-BC6E-472C-8255-4A229C77A35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108" name="AutoShape 3" descr="\sigma">
          <a:extLst>
            <a:ext uri="{FF2B5EF4-FFF2-40B4-BE49-F238E27FC236}">
              <a16:creationId xmlns:a16="http://schemas.microsoft.com/office/drawing/2014/main" id="{2C4CD5C4-3CAC-4F8F-A17D-82465AF5AB57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109" name="AutoShape 4" descr="\sigma">
          <a:extLst>
            <a:ext uri="{FF2B5EF4-FFF2-40B4-BE49-F238E27FC236}">
              <a16:creationId xmlns:a16="http://schemas.microsoft.com/office/drawing/2014/main" id="{5F1160D3-8C86-430F-AE10-CAE9C999E371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110" name="AutoShape 3" descr="\sigma">
          <a:extLst>
            <a:ext uri="{FF2B5EF4-FFF2-40B4-BE49-F238E27FC236}">
              <a16:creationId xmlns:a16="http://schemas.microsoft.com/office/drawing/2014/main" id="{D950FFD6-4496-4F6E-A8EC-DC3E1C2BB960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111" name="AutoShape 4" descr="\sigma">
          <a:extLst>
            <a:ext uri="{FF2B5EF4-FFF2-40B4-BE49-F238E27FC236}">
              <a16:creationId xmlns:a16="http://schemas.microsoft.com/office/drawing/2014/main" id="{A55F8E06-CF95-4200-93CE-53F9F80B0697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112" name="AutoShape 3" descr="\sigma">
          <a:extLst>
            <a:ext uri="{FF2B5EF4-FFF2-40B4-BE49-F238E27FC236}">
              <a16:creationId xmlns:a16="http://schemas.microsoft.com/office/drawing/2014/main" id="{C2875FD1-5926-4450-A19C-70E1247B4B28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113" name="AutoShape 4" descr="\sigma">
          <a:extLst>
            <a:ext uri="{FF2B5EF4-FFF2-40B4-BE49-F238E27FC236}">
              <a16:creationId xmlns:a16="http://schemas.microsoft.com/office/drawing/2014/main" id="{0B0EFA26-33F5-4C35-9068-5449976CAEF4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114" name="AutoShape 3" descr="\sigma">
          <a:extLst>
            <a:ext uri="{FF2B5EF4-FFF2-40B4-BE49-F238E27FC236}">
              <a16:creationId xmlns:a16="http://schemas.microsoft.com/office/drawing/2014/main" id="{A1D56D6A-A1B7-4217-BD05-BA6BCC515C1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115" name="AutoShape 4" descr="\sigma">
          <a:extLst>
            <a:ext uri="{FF2B5EF4-FFF2-40B4-BE49-F238E27FC236}">
              <a16:creationId xmlns:a16="http://schemas.microsoft.com/office/drawing/2014/main" id="{52F1C453-C55B-4EDB-8FEB-FE55863C4A16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116" name="AutoShape 3" descr="\sigma">
          <a:extLst>
            <a:ext uri="{FF2B5EF4-FFF2-40B4-BE49-F238E27FC236}">
              <a16:creationId xmlns:a16="http://schemas.microsoft.com/office/drawing/2014/main" id="{96F17E6F-B287-4CB4-AEB9-0B30CA914AE7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117" name="AutoShape 4" descr="\sigma">
          <a:extLst>
            <a:ext uri="{FF2B5EF4-FFF2-40B4-BE49-F238E27FC236}">
              <a16:creationId xmlns:a16="http://schemas.microsoft.com/office/drawing/2014/main" id="{FCFF4D97-7EB2-4EBC-A578-858A77B38C2B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118" name="AutoShape 3" descr="\sigma">
          <a:extLst>
            <a:ext uri="{FF2B5EF4-FFF2-40B4-BE49-F238E27FC236}">
              <a16:creationId xmlns:a16="http://schemas.microsoft.com/office/drawing/2014/main" id="{30492296-D570-40E0-81F1-C185006A7FF1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119" name="AutoShape 4" descr="\sigma">
          <a:extLst>
            <a:ext uri="{FF2B5EF4-FFF2-40B4-BE49-F238E27FC236}">
              <a16:creationId xmlns:a16="http://schemas.microsoft.com/office/drawing/2014/main" id="{663144AB-2E55-4323-859A-AFF9A697C49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20" name="AutoShape 3" descr="\sigma">
          <a:extLst>
            <a:ext uri="{FF2B5EF4-FFF2-40B4-BE49-F238E27FC236}">
              <a16:creationId xmlns:a16="http://schemas.microsoft.com/office/drawing/2014/main" id="{D5AF714D-1495-42BF-B04F-D67236D09FE9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21" name="AutoShape 4" descr="\sigma">
          <a:extLst>
            <a:ext uri="{FF2B5EF4-FFF2-40B4-BE49-F238E27FC236}">
              <a16:creationId xmlns:a16="http://schemas.microsoft.com/office/drawing/2014/main" id="{025ED2B9-56A0-495B-8371-11EEB96818AB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22" name="AutoShape 3" descr="\sigma">
          <a:extLst>
            <a:ext uri="{FF2B5EF4-FFF2-40B4-BE49-F238E27FC236}">
              <a16:creationId xmlns:a16="http://schemas.microsoft.com/office/drawing/2014/main" id="{0914BA85-C472-463F-9B06-422B848955F8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23" name="AutoShape 4" descr="\sigma">
          <a:extLst>
            <a:ext uri="{FF2B5EF4-FFF2-40B4-BE49-F238E27FC236}">
              <a16:creationId xmlns:a16="http://schemas.microsoft.com/office/drawing/2014/main" id="{5295C7EE-EC16-4416-89F8-2DFA8B35FB75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24" name="AutoShape 3" descr="\sigma">
          <a:extLst>
            <a:ext uri="{FF2B5EF4-FFF2-40B4-BE49-F238E27FC236}">
              <a16:creationId xmlns:a16="http://schemas.microsoft.com/office/drawing/2014/main" id="{AF02F80D-53AF-4FC9-AC49-FB2999041806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25" name="AutoShape 4" descr="\sigma">
          <a:extLst>
            <a:ext uri="{FF2B5EF4-FFF2-40B4-BE49-F238E27FC236}">
              <a16:creationId xmlns:a16="http://schemas.microsoft.com/office/drawing/2014/main" id="{CC75ADAC-2FA7-4936-8A45-8410D00AA76A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126" name="AutoShape 3" descr="\sigma">
          <a:extLst>
            <a:ext uri="{FF2B5EF4-FFF2-40B4-BE49-F238E27FC236}">
              <a16:creationId xmlns:a16="http://schemas.microsoft.com/office/drawing/2014/main" id="{0919039F-E313-46B5-B6CD-77F0727A4AF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127" name="AutoShape 4" descr="\sigma">
          <a:extLst>
            <a:ext uri="{FF2B5EF4-FFF2-40B4-BE49-F238E27FC236}">
              <a16:creationId xmlns:a16="http://schemas.microsoft.com/office/drawing/2014/main" id="{E24328F5-8D69-4513-AC53-9D33D7031F32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128" name="AutoShape 3" descr="\sigma">
          <a:extLst>
            <a:ext uri="{FF2B5EF4-FFF2-40B4-BE49-F238E27FC236}">
              <a16:creationId xmlns:a16="http://schemas.microsoft.com/office/drawing/2014/main" id="{18416991-F8FB-4DF2-A0DD-5E952CE010F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129" name="AutoShape 4" descr="\sigma">
          <a:extLst>
            <a:ext uri="{FF2B5EF4-FFF2-40B4-BE49-F238E27FC236}">
              <a16:creationId xmlns:a16="http://schemas.microsoft.com/office/drawing/2014/main" id="{11A12268-3CFC-4572-ABFE-8CE005E9E1C6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130" name="AutoShape 3" descr="\sigma">
          <a:extLst>
            <a:ext uri="{FF2B5EF4-FFF2-40B4-BE49-F238E27FC236}">
              <a16:creationId xmlns:a16="http://schemas.microsoft.com/office/drawing/2014/main" id="{B77755FD-D976-4CC2-8E71-D4067DA5354E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131" name="AutoShape 4" descr="\sigma">
          <a:extLst>
            <a:ext uri="{FF2B5EF4-FFF2-40B4-BE49-F238E27FC236}">
              <a16:creationId xmlns:a16="http://schemas.microsoft.com/office/drawing/2014/main" id="{69D2F90F-A908-4D43-9BE1-B0F449732261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132" name="AutoShape 3" descr="\sigma">
          <a:extLst>
            <a:ext uri="{FF2B5EF4-FFF2-40B4-BE49-F238E27FC236}">
              <a16:creationId xmlns:a16="http://schemas.microsoft.com/office/drawing/2014/main" id="{0BCBD859-1D3E-4200-B90A-A70E54491F49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133" name="AutoShape 4" descr="\sigma">
          <a:extLst>
            <a:ext uri="{FF2B5EF4-FFF2-40B4-BE49-F238E27FC236}">
              <a16:creationId xmlns:a16="http://schemas.microsoft.com/office/drawing/2014/main" id="{2B108B59-C918-411D-8415-F9E97D9967F1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134" name="AutoShape 3" descr="\sigma">
          <a:extLst>
            <a:ext uri="{FF2B5EF4-FFF2-40B4-BE49-F238E27FC236}">
              <a16:creationId xmlns:a16="http://schemas.microsoft.com/office/drawing/2014/main" id="{A257B5AA-1AD0-4753-8DAD-1347BD9DEF71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135" name="AutoShape 4" descr="\sigma">
          <a:extLst>
            <a:ext uri="{FF2B5EF4-FFF2-40B4-BE49-F238E27FC236}">
              <a16:creationId xmlns:a16="http://schemas.microsoft.com/office/drawing/2014/main" id="{CF7C2F90-6D9F-4D5F-B1DC-03C0F6870EAF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136" name="AutoShape 3" descr="\sigma">
          <a:extLst>
            <a:ext uri="{FF2B5EF4-FFF2-40B4-BE49-F238E27FC236}">
              <a16:creationId xmlns:a16="http://schemas.microsoft.com/office/drawing/2014/main" id="{7C91F039-818F-4A31-805C-F0CF5B4370BA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137" name="AutoShape 4" descr="\sigma">
          <a:extLst>
            <a:ext uri="{FF2B5EF4-FFF2-40B4-BE49-F238E27FC236}">
              <a16:creationId xmlns:a16="http://schemas.microsoft.com/office/drawing/2014/main" id="{526721D9-93BB-408E-BA6A-108AD3291C26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138" name="AutoShape 3" descr="\sigma">
          <a:extLst>
            <a:ext uri="{FF2B5EF4-FFF2-40B4-BE49-F238E27FC236}">
              <a16:creationId xmlns:a16="http://schemas.microsoft.com/office/drawing/2014/main" id="{82178EE1-29D4-4D61-9CBC-AD2A96632647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139" name="AutoShape 4" descr="\sigma">
          <a:extLst>
            <a:ext uri="{FF2B5EF4-FFF2-40B4-BE49-F238E27FC236}">
              <a16:creationId xmlns:a16="http://schemas.microsoft.com/office/drawing/2014/main" id="{C5BA787C-5EB5-4AB0-B250-29255778164F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140" name="AutoShape 3" descr="\sigma">
          <a:extLst>
            <a:ext uri="{FF2B5EF4-FFF2-40B4-BE49-F238E27FC236}">
              <a16:creationId xmlns:a16="http://schemas.microsoft.com/office/drawing/2014/main" id="{E16D8458-86BA-4D4C-B025-3D7B20CB6998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141" name="AutoShape 4" descr="\sigma">
          <a:extLst>
            <a:ext uri="{FF2B5EF4-FFF2-40B4-BE49-F238E27FC236}">
              <a16:creationId xmlns:a16="http://schemas.microsoft.com/office/drawing/2014/main" id="{77ECD572-B3AE-493E-822D-7515BD181838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142" name="AutoShape 3" descr="\sigma">
          <a:extLst>
            <a:ext uri="{FF2B5EF4-FFF2-40B4-BE49-F238E27FC236}">
              <a16:creationId xmlns:a16="http://schemas.microsoft.com/office/drawing/2014/main" id="{51EE429F-F7A3-4BB0-BB75-7CB838225C4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144" name="AutoShape 3" descr="\sigma">
          <a:extLst>
            <a:ext uri="{FF2B5EF4-FFF2-40B4-BE49-F238E27FC236}">
              <a16:creationId xmlns:a16="http://schemas.microsoft.com/office/drawing/2014/main" id="{244F895E-0234-4021-B4B4-B61932F75AE2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34636</xdr:colOff>
      <xdr:row>22</xdr:row>
      <xdr:rowOff>180623</xdr:rowOff>
    </xdr:from>
    <xdr:ext cx="304800" cy="304800"/>
    <xdr:sp macro="" textlink="">
      <xdr:nvSpPr>
        <xdr:cNvPr id="145" name="AutoShape 4" descr="\sigma">
          <a:extLst>
            <a:ext uri="{FF2B5EF4-FFF2-40B4-BE49-F238E27FC236}">
              <a16:creationId xmlns:a16="http://schemas.microsoft.com/office/drawing/2014/main" id="{B93DCCE1-3283-4501-BB0B-F73550C8241B}"/>
            </a:ext>
          </a:extLst>
        </xdr:cNvPr>
        <xdr:cNvSpPr>
          <a:spLocks noChangeAspect="1" noChangeArrowheads="1"/>
        </xdr:cNvSpPr>
      </xdr:nvSpPr>
      <xdr:spPr bwMode="auto">
        <a:xfrm>
          <a:off x="5536045" y="462562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1447800</xdr:colOff>
      <xdr:row>16</xdr:row>
      <xdr:rowOff>101600</xdr:rowOff>
    </xdr:from>
    <xdr:ext cx="304800" cy="304800"/>
    <xdr:sp macro="" textlink="">
      <xdr:nvSpPr>
        <xdr:cNvPr id="146" name="AutoShape 3" descr="\sigma">
          <a:extLst>
            <a:ext uri="{FF2B5EF4-FFF2-40B4-BE49-F238E27FC236}">
              <a16:creationId xmlns:a16="http://schemas.microsoft.com/office/drawing/2014/main" id="{A24CA7AC-BFDC-4D88-9EFD-19862FB664F9}"/>
            </a:ext>
          </a:extLst>
        </xdr:cNvPr>
        <xdr:cNvSpPr>
          <a:spLocks noChangeAspect="1" noChangeArrowheads="1"/>
        </xdr:cNvSpPr>
      </xdr:nvSpPr>
      <xdr:spPr bwMode="auto">
        <a:xfrm>
          <a:off x="5486400" y="33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31750</xdr:rowOff>
    </xdr:from>
    <xdr:ext cx="304800" cy="304800"/>
    <xdr:sp macro="" textlink="">
      <xdr:nvSpPr>
        <xdr:cNvPr id="147" name="AutoShape 4" descr="\sigma">
          <a:extLst>
            <a:ext uri="{FF2B5EF4-FFF2-40B4-BE49-F238E27FC236}">
              <a16:creationId xmlns:a16="http://schemas.microsoft.com/office/drawing/2014/main" id="{3793D90D-E624-4554-A5F9-B56B3B7F9D3C}"/>
            </a:ext>
          </a:extLst>
        </xdr:cNvPr>
        <xdr:cNvSpPr>
          <a:spLocks noChangeAspect="1" noChangeArrowheads="1"/>
        </xdr:cNvSpPr>
      </xdr:nvSpPr>
      <xdr:spPr bwMode="auto">
        <a:xfrm>
          <a:off x="5499100" y="348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1435100</xdr:colOff>
      <xdr:row>17</xdr:row>
      <xdr:rowOff>82550</xdr:rowOff>
    </xdr:from>
    <xdr:ext cx="304800" cy="304800"/>
    <xdr:sp macro="" textlink="">
      <xdr:nvSpPr>
        <xdr:cNvPr id="148" name="AutoShape 3" descr="\sigma">
          <a:extLst>
            <a:ext uri="{FF2B5EF4-FFF2-40B4-BE49-F238E27FC236}">
              <a16:creationId xmlns:a16="http://schemas.microsoft.com/office/drawing/2014/main" id="{F64CAB9E-807C-42E6-83A8-7F56980A83E3}"/>
            </a:ext>
          </a:extLst>
        </xdr:cNvPr>
        <xdr:cNvSpPr>
          <a:spLocks noChangeAspect="1" noChangeArrowheads="1"/>
        </xdr:cNvSpPr>
      </xdr:nvSpPr>
      <xdr:spPr bwMode="auto">
        <a:xfrm>
          <a:off x="5473700" y="35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6350</xdr:colOff>
      <xdr:row>18</xdr:row>
      <xdr:rowOff>38100</xdr:rowOff>
    </xdr:from>
    <xdr:ext cx="304800" cy="304800"/>
    <xdr:sp macro="" textlink="">
      <xdr:nvSpPr>
        <xdr:cNvPr id="149" name="AutoShape 4" descr="\sigma">
          <a:extLst>
            <a:ext uri="{FF2B5EF4-FFF2-40B4-BE49-F238E27FC236}">
              <a16:creationId xmlns:a16="http://schemas.microsoft.com/office/drawing/2014/main" id="{017EABEC-46C4-4BD9-B367-57376DA66AC2}"/>
            </a:ext>
          </a:extLst>
        </xdr:cNvPr>
        <xdr:cNvSpPr>
          <a:spLocks noChangeAspect="1" noChangeArrowheads="1"/>
        </xdr:cNvSpPr>
      </xdr:nvSpPr>
      <xdr:spPr bwMode="auto">
        <a:xfrm>
          <a:off x="5505450" y="369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150" name="AutoShape 3" descr="\sigma">
          <a:extLst>
            <a:ext uri="{FF2B5EF4-FFF2-40B4-BE49-F238E27FC236}">
              <a16:creationId xmlns:a16="http://schemas.microsoft.com/office/drawing/2014/main" id="{AAC3B983-30DB-4987-B0D3-406D5D5466CA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151" name="AutoShape 4" descr="\sigma">
          <a:extLst>
            <a:ext uri="{FF2B5EF4-FFF2-40B4-BE49-F238E27FC236}">
              <a16:creationId xmlns:a16="http://schemas.microsoft.com/office/drawing/2014/main" id="{48955B40-F4B1-41CB-A2B7-B0420C4A2183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152" name="AutoShape 3" descr="\sigma">
          <a:extLst>
            <a:ext uri="{FF2B5EF4-FFF2-40B4-BE49-F238E27FC236}">
              <a16:creationId xmlns:a16="http://schemas.microsoft.com/office/drawing/2014/main" id="{2D6C03BE-C014-4D24-88B8-95497006321D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153" name="AutoShape 4" descr="\sigma">
          <a:extLst>
            <a:ext uri="{FF2B5EF4-FFF2-40B4-BE49-F238E27FC236}">
              <a16:creationId xmlns:a16="http://schemas.microsoft.com/office/drawing/2014/main" id="{184C0A74-C61E-4794-BA99-1743B3B66FE9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154" name="AutoShape 3" descr="\sigma">
          <a:extLst>
            <a:ext uri="{FF2B5EF4-FFF2-40B4-BE49-F238E27FC236}">
              <a16:creationId xmlns:a16="http://schemas.microsoft.com/office/drawing/2014/main" id="{EF36917A-3B59-4711-BBDF-35478E727C38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155" name="AutoShape 4" descr="\sigma">
          <a:extLst>
            <a:ext uri="{FF2B5EF4-FFF2-40B4-BE49-F238E27FC236}">
              <a16:creationId xmlns:a16="http://schemas.microsoft.com/office/drawing/2014/main" id="{28467863-F472-48C5-B914-1CD8E25841E6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156" name="AutoShape 3" descr="\sigma">
          <a:extLst>
            <a:ext uri="{FF2B5EF4-FFF2-40B4-BE49-F238E27FC236}">
              <a16:creationId xmlns:a16="http://schemas.microsoft.com/office/drawing/2014/main" id="{4CD2EBFB-8876-48C0-88A8-5DFD6DFB9899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157" name="AutoShape 4" descr="\sigma">
          <a:extLst>
            <a:ext uri="{FF2B5EF4-FFF2-40B4-BE49-F238E27FC236}">
              <a16:creationId xmlns:a16="http://schemas.microsoft.com/office/drawing/2014/main" id="{DA3C65CD-3DB0-4F8C-B056-F87E9FC9A693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158" name="AutoShape 3" descr="\sigma">
          <a:extLst>
            <a:ext uri="{FF2B5EF4-FFF2-40B4-BE49-F238E27FC236}">
              <a16:creationId xmlns:a16="http://schemas.microsoft.com/office/drawing/2014/main" id="{80E27464-CD36-455A-AAFC-95A3956124E7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159" name="AutoShape 4" descr="\sigma">
          <a:extLst>
            <a:ext uri="{FF2B5EF4-FFF2-40B4-BE49-F238E27FC236}">
              <a16:creationId xmlns:a16="http://schemas.microsoft.com/office/drawing/2014/main" id="{35B96644-0F95-482E-8062-578C92B9F866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160" name="AutoShape 3" descr="\sigma">
          <a:extLst>
            <a:ext uri="{FF2B5EF4-FFF2-40B4-BE49-F238E27FC236}">
              <a16:creationId xmlns:a16="http://schemas.microsoft.com/office/drawing/2014/main" id="{F3690DAC-FCC2-4145-926D-F646BA1798EA}"/>
            </a:ext>
          </a:extLst>
        </xdr:cNvPr>
        <xdr:cNvSpPr>
          <a:spLocks noChangeAspect="1" noChangeArrowheads="1"/>
        </xdr:cNvSpPr>
      </xdr:nvSpPr>
      <xdr:spPr bwMode="auto">
        <a:xfrm>
          <a:off x="5499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</xdr:row>
      <xdr:rowOff>0</xdr:rowOff>
    </xdr:from>
    <xdr:ext cx="304800" cy="304800"/>
    <xdr:sp macro="" textlink="">
      <xdr:nvSpPr>
        <xdr:cNvPr id="162" name="AutoShape 3" descr="\sigma">
          <a:extLst>
            <a:ext uri="{FF2B5EF4-FFF2-40B4-BE49-F238E27FC236}">
              <a16:creationId xmlns:a16="http://schemas.microsoft.com/office/drawing/2014/main" id="{14992684-5273-480E-8EE4-51A32DD4107A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</xdr:row>
      <xdr:rowOff>0</xdr:rowOff>
    </xdr:from>
    <xdr:ext cx="304800" cy="304800"/>
    <xdr:sp macro="" textlink="">
      <xdr:nvSpPr>
        <xdr:cNvPr id="163" name="AutoShape 4" descr="\sigma">
          <a:extLst>
            <a:ext uri="{FF2B5EF4-FFF2-40B4-BE49-F238E27FC236}">
              <a16:creationId xmlns:a16="http://schemas.microsoft.com/office/drawing/2014/main" id="{5ECD1D71-941E-49BA-8750-C3EDAD615879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</xdr:row>
      <xdr:rowOff>0</xdr:rowOff>
    </xdr:from>
    <xdr:ext cx="304800" cy="304800"/>
    <xdr:sp macro="" textlink="">
      <xdr:nvSpPr>
        <xdr:cNvPr id="164" name="AutoShape 3" descr="\sigma">
          <a:extLst>
            <a:ext uri="{FF2B5EF4-FFF2-40B4-BE49-F238E27FC236}">
              <a16:creationId xmlns:a16="http://schemas.microsoft.com/office/drawing/2014/main" id="{62682805-5C08-46A1-8742-79FFE5510A40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</xdr:row>
      <xdr:rowOff>0</xdr:rowOff>
    </xdr:from>
    <xdr:ext cx="304800" cy="304800"/>
    <xdr:sp macro="" textlink="">
      <xdr:nvSpPr>
        <xdr:cNvPr id="165" name="AutoShape 4" descr="\sigma">
          <a:extLst>
            <a:ext uri="{FF2B5EF4-FFF2-40B4-BE49-F238E27FC236}">
              <a16:creationId xmlns:a16="http://schemas.microsoft.com/office/drawing/2014/main" id="{A6274A36-DD75-435B-BCE5-F2210A1341BB}"/>
            </a:ext>
          </a:extLst>
        </xdr:cNvPr>
        <xdr:cNvSpPr>
          <a:spLocks noChangeAspect="1" noChangeArrowheads="1"/>
        </xdr:cNvSpPr>
      </xdr:nvSpPr>
      <xdr:spPr bwMode="auto">
        <a:xfrm>
          <a:off x="54991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303068</xdr:colOff>
      <xdr:row>21</xdr:row>
      <xdr:rowOff>17610</xdr:rowOff>
    </xdr:from>
    <xdr:to>
      <xdr:col>8</xdr:col>
      <xdr:colOff>145740</xdr:colOff>
      <xdr:row>45</xdr:row>
      <xdr:rowOff>8659</xdr:rowOff>
    </xdr:to>
    <xdr:graphicFrame macro="">
      <xdr:nvGraphicFramePr>
        <xdr:cNvPr id="166" name="Chart 165">
          <a:extLst>
            <a:ext uri="{FF2B5EF4-FFF2-40B4-BE49-F238E27FC236}">
              <a16:creationId xmlns:a16="http://schemas.microsoft.com/office/drawing/2014/main" id="{86C00B2C-5F2A-16EF-6C54-60DD10DDA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2:58:40.85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48 1 24575,'7'0'0,"3"0"0,4 0 0,2 0 0,-4 0 0,0 1 0,-2 3 0,0 3 0,-1 1 0,-3 0 0,-1 1 0,-1 1 0,1 2 0,-3 0 0,0 2 0,-2 0 0,0-1 0,0 1 0,0 1 0,0 1 0,0 1 0,0 2 0,0-3 0,0-2 0,-2-3 0,-4-3 0,-3-4 0,-1-2 0,0-2 0,2 0 0,-2 0 0,-1 0 0,0 0 0,0 0 0,1 0 0,2-1 0,2-1 0,6-1 0,8 1 0,4 2 0,3 0 0,0 0 0,0 0 0,1 0 0,0 0 0,-1 0 0,-4 0 0,-3 2 0,-4 3 0,-1 3 0,-2 5 0,-1 1 0,0 0 0,0 1 0,0-3 0,0-1 0,0-1 0,0 0 0,0-1 0,0-1 0,0 0 0,0 0 0,0 0 0,0 3 0,-5 1 0,-4 0 0,-2-1 0,-3-2 0,3-5 0,-1-2 0,-2-1 0,2-1 0,-1 0 0,-2 0 0,-2 0 0,1 0 0,1-1 0,2-1 0,5-1 0,0-1 0,5 1 0,1 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0:22.10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 62 24575,'0'6'0,"0"3"0,0 3 0,0 0 0,0 3 0,0-1 0,0 3 0,0-1 0,0-4 0,0-1 0,0-2 0,0 0 0,0 0 0,-5 0 0,1-2 0,2-2 0,4-6 0,9-1 0,3-3 0,4 0 0,-2 3 0,0-2 0,-2 1 0,0-1 0,0-1 0,-3 3 0,-2-2 0,-1 1 0,-2-1 0,-2 1 0,-2 1 0</inkml:trace>
  <inkml:trace contextRef="#ctx0" brushRef="#br0" timeOffset="1814">195 0 24575,'0'8'0,"0"5"0,0 7 0,0 5 0,0 1 0,0-4 0,0 2 0,0-1 0,0-1 0,0-1 0,0-2 0,0 0 0,0 0 0,0 0 0,0 0 0,0-1 0,0-1 0,2-3 0,0-1 0,1-1 0,0 1 0,-2 1 0,2 0 0,-1 0 0,-1 0 0,-1 0 0,2-2 0,1 1 0,-1-1 0,0-5 0,-2-2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0:33.12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67 0 24575,'0'6'0,"0"2"0,0 3 0,0 2 0,0 3 0,0-2 0,0-1 0,0-1 0,0-3 0,0 2 0,0-1 0,0-1 0,0 1 0,0-2 0,0 0 0,0 0 0,0 0 0,0-1 0,0 1 0,0 0 0,0 0 0,0 1 0,0 0 0,0-4 0,3-2 0,3-3 0,3-4 0,2 2 0,-2-1 0,-2 2 0,1 1 0,0 0 0,0 1 0,-3 3 0,-2 2 0,-3 5 0,0 0 0,0 0 0,0-2 0,0-2 0,0 2 0,0-1 0,0-1 0,-2 3 0,-4 0 0,-4-1 0,0 0 0,-1-2 0,3-3 0,1-1 0,0-1 0,1 1 0,0-1 0,-1 0 0,-2-1 0,0-1 0,0 0 0,-1 0 0,1 0 0,0 0 0,4 0 0,1 0 0</inkml:trace>
  <inkml:trace contextRef="#ctx0" brushRef="#br0" timeOffset="1883">51 84 24575,'6'0'0,"0"0"0,4 0 0,-1 0 0,2 0 0,0 0 0,0 0 0,0 0 0,0 0 0,1 0 0,0 0 0,-1 0 0,-2 0 0,0 0 0,-1-2 0,-1-1 0,-3-1 0,3-1 0,1 1 0,2 0 0,-5 2 0,-1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0:47.60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170 1 24575,'-10'0'0,"0"0"0,-4 0 0,0 0 0,3 0 0,-2 0 0,1 0 0,-2 0 0,-1 2 0,4 2 0,3 4 0,2 2 0,-1 2 0,1 0 0,2 2 0,-1 0 0,1-1 0,1-1 0,1-3 0,2 0 0,0 0 0,0 0 0,0 2 0,0 1 0,0 1 0,0 1 0,0 0 0,0 2 0,0 1 0,0 0 0,0-2 0,0-1 0,0-2 0,0 0 0,0-1 0,1-1 0,1 1 0,2-1 0,3-2 0,1 1 0,3 0 0,-1-2 0,0 1 0,0-4 0,-1 0 0,1-2 0,2-2 0,2 0 0,0 0 0,1 0 0,0 0 0,0 0 0,0 0 0,-3 0 0,-2-2 0,-1-2 0,-2-3 0,-1-1 0,-2-1 0,-1 1 0,-1 0 0,-2 1 0,0-1 0,0-1 0,0 1 0,0 0 0,0 0 0,0 0 0,0 0 0,0-1 0,0 0 0,0-1 0,-2 1 0,1 0 0,-3 0 0,-2 3 0,-1-1 0,-2 2 0,1 0 0,0 1 0,0 2 0,2-2 0,-1 2 0,0-1 0,1 1 0,-2 1 0,-1 1 0,0 0 0,0 0 0,0 0 0,2 0 0,-2 0 0,0 0 0,4 0 0,1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1:33.52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 1 24575,'6'0'0,"2"0"0,1 0 0,1 0 0,-1 0 0,-1 0 0,2 0 0,-2 0 0,2 0 0,-1 0 0,-4 1 0,1 1 0,-1 0 0,2 0 0,2-2 0,0 1 0,1-1 0,-2 0 0,-1 0 0,1 0 0,-1 1 0,-2 3 0,-3 5 0,-3 2 0,-3 3 0,-6 2 0,-2 1 0,-1 1 0,0 1 0,0 0 0,1-1 0,-2-2 0,0 1 0,0-1 0,0 0 0,3-3 0,2-2 0,1-3 0,1 0 0,1-1 0,-1-3 0,3 3 0,1 1 0,2-3 0,1 1 0</inkml:trace>
  <inkml:trace contextRef="#ctx0" brushRef="#br0" timeOffset="2233">51 140 24575,'6'2'0,"0"0"0,1 2 0,1 1 0,-1-1 0,-1 0 0,1 1 0,-1-1 0,2-2 0,-1 2 0,-1-2 0,0 0 0,1 0 0,-3-2 0,0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2:10.20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28 49 24575,'0'6'0,"0"-1"0,0 3 0,0 1 0,0 1 0,0 1 0,0-1 0,0 0 0,2-1 0,-1-1 0,3-2 0,1 2 0,0 0 0,1 0 0,0 0 0,1-3 0,2-1 0,1 0 0,1-1 0,0 1 0,-2 0 0,-2 0 0,0 1 0,-3 2 0,-1 0 0,0 2 0,-2 1 0,-1 0 0,0 1 0,0-1 0,0 0 0,0-2 0,0 1 0,0-1 0,-3 0 0,-3-3 0,-3-3 0,0-1 0,-1-1 0,2 0 0,-1 0 0,-1 0 0,1 0 0,-2 0 0,0 0 0,1 0 0,-1 0 0,2-1 0,2-3 0,3-2 0,2-4 0,2 1 0,0-2 0,0-1 0,0 2 0,2-2 0,3 3 0,2-1 0,3 2 0,-1 0 0,1 2 0,-1 2 0,1-1 0,-1 1 0,0-1 0,-1 1 0,0 1 0,-1 1 0,0 1 0,0-2 0,2 0 0,-1-1 0,2-4 0,-2 0 0,-1-3 0,0 0 0,-2 3 0,-2 0 0,-2 1 0,-1 0 0,0-2 0,0-2 0,0-2 0,0-1 0,0 2 0,0 0 0,-4 3 0,-1 3 0,-5 3 0,-3 1 0,2 0 0,-1-1 0,3 1 0,2 2 0,-1 0 0,-1 0 0,0-1 0,1 3 0,0 3 0,5-3 0,1 3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2:13.69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 21 24575,'-8'2'0,"1"2"0,2 3 0,2 3 0,1 0 0,2-2 0,0 4 0,-1-1 0,1 0 0,0 2 0,0-3 0,0 0 0,0 2 0,0 0 0,3-1 0,1 0 0,4-2 0,1-3 0,-1 1 0,1-3 0,0-1 0,0 0 0,-1 0 0,3 0 0,2-1 0,1 1 0,0-3 0,-2 0 0,-3 0 0,0 0 0,-1-3 0,-4-1 0,-1-2 0,-3-3 0,0 2 0,0-2 0,0 1 0,0-3 0,0-1 0,0 1 0,0-1 0,0 2 0,0 0 0,0 0 0,0 1 0,0 0 0,0 0 0,-3 2 0,-1-1 0,-5 0 0,-2 1 0,-1 0 0,-1 1 0,1 0 0,0 2 0,1-1 0,0 0 0,1 2 0,-2 0 0,2 3 0,1 0 0,-1 0 0,0 0 0,3 0 0,2 0 0</inkml:trace>
  <inkml:trace contextRef="#ctx0" brushRef="#br0" timeOffset="2700">176 80 24575,'0'8'0,"0"2"0,0 2 0,0 0 0,0-2 0,0 0 0,0 0 0,0 1 0,0 3 0,0-3 0,0 0 0,0-1 0,0 1 0,0-1 0,0 1 0,0 1 0,0-3 0,0 0 0,0-2 0,0 2 0,0 0 0,0 1 0,0 0 0,0-2 0,0 0 0,0 0 0,0 0 0,0 0 0,0 2 0,0 0 0,0 2 0,0-3 0,0 0 0,0 0 0,0-4 0,0-1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3:32.45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24575,'0'6'0,"0"-1"0,0 3 0,0-1 0,0 1 0,0 2 0,0-2 0,0 1 0,0-2 0,0 1 0,0 1 0,0-1 0,0 2 0,0-1 0,0 2 0,0 3 0,0-1 0,0-2 0,0-2 0,0-1 0,0 1 0,0 1 0,0-1 0,0-1 0,0 1 0,0-1 0,0-3 0,0-2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3:37.1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43 26 24575,'-5'0'0,"0"2"0,1 1 0,0 2 0,1 2 0,1 1 0,0 0 0,2 2 0,-2-2 0,0 0 0,-2 0 0,0-2 0,1 3 0,0 1 0,3 0 0,0-1 0,0-1 0,0 1 0,0-1 0,0 0 0,0 0 0,0 1 0,0-2 0,0 1 0,2 1 0,2-2 0,1 0 0,3-3 0,-1-1 0,-1 0 0,0 0 0,0-1 0,-1 2 0,1-2 0,1 0 0,0 0 0,2-1 0,0 0 0,-2 1 0,-2 0 0,0 1 0,1-1 0,2-2 0,1 0 0,0-1 0,-3-3 0,1-2 0,-2-3 0,-3 0 0,0 1 0,0-1 0,1-1 0,-1-1 0,1-1 0,-2 2 0,1 1 0,0 1 0,0 0 0,-2-1 0,0-1 0,0 2 0,0 0 0,0 0 0,0-1 0,0-1 0,0 1 0,0 0 0,0 1 0,-1 1 0,-3 0 0,-1 1 0,-2-2 0,0 2 0,2-3 0,-2 3 0,-2 1 0,1 1 0,-2 4 0,2-1 0,0 1 0,4 0 0,0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4:24.6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24575,'0'10'0,"0"-1"0,0 2 0,0-1 0,0-2 0,0-1 0,0 2 0,0 1 0,0 2 0,0 1 0,0 0 0,0-1 0,0-1 0,0-1 0,0-2 0,0-1 0,0 2 0,0 1 0,0 1 0,0-1 0,0 0 0,0-2 0,0 1 0,0 1 0,0 0 0,0 1 0,0-1 0,0-2 0,0 1 0,0 0 0,0-1 0,0 1 0,0-1 0,0 2 0,0 0 0,0 1 0,0-2 0,0-4 0,0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4:29.07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24575,'0'10'0,"0"3"0,0 4 0,0 1 0,0-3 0,0-4 0,0 2 0,0 1 0,0 2 0,0 2 0,0-3 0,0 1 0,0-3 0,0 1 0,0 0 0,0 0 0,0 0 0,0-1 0,0-2 0,0-1 0,0-1 0,0 0 0,0-1 0,0-1 0,0 1 0,0 1 0,0 0 0,0 0 0,0 0 0,0-2 0,0 2 0,0-1 0,0 1 0,0-2 0,0 1 0,0 0 0,0-3 0,0-1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5:31.02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137 1 24575,'0'8'0,"0"2"0,0 1 0,0-1 0,0-1 0,0-1 0,0 2 0,0 0 0,0 0 0,0 2 0,0-1 0,0 1 0,0-3 0,0 0 0,0 0 0,0 0 0,0 2 0,-3-1 0,-1 1 0,-1-1 0,2-3 0,5-3 0,4-2 0,2-4 0,-1 0 0,2-2 0,0-1 0,2 3 0,2-1 0,0 3 0,-1 0 0,-1 0 0,-1 0 0,-3 2 0,-3 2 0,-1 2 0,-3 0 0,0 1 0,0 2 0,0 2 0,0 0 0,0 0 0,0-2 0,0-1 0,0 2 0,0-2 0,0 2 0,0 0 0,0 0 0,0 0 0,0-1 0,0 0 0,-3-1 0,-3 0 0,-4-3 0,-4-1 0,0 0 0,1-1 0,1-1 0,3-2 0,2 0 0,-2 0 0,5 0 0,-1 0 0</inkml:trace>
  <inkml:trace contextRef="#ctx0" brushRef="#br0" timeOffset="1715">199 49 24575,'10'0'0,"0"0"0,4 0 0,0 0 0,-4 0 0,3 0 0,-2 0 0,-1 0 0,2 0 0,-2 0 0,0 0 0,-1 0 0,-1 0 0,-2 0 0,-2 0 0</inkml:trace>
  <inkml:trace contextRef="#ctx0" brushRef="#br0" timeOffset="3883">1 24 24575,'0'10'0,"0"4"0,0 6 0,0 2 0,0-1 0,0-2 0,0-3 0,0 0 0,0 1 0,0-2 0,0 0 0,0-2 0,0 0 0,0 2 0,0 0 0,0-3 0,0 0 0,0 1 0,0 0 0,0 0 0,0-1 0,0 1 0,0-1 0,0-1 0,0 0 0,0-1 0,0 0 0,0 1 0,0-2 0,0 0 0,0-2 0,0 1 0,0 0 0,0-3 0,0-1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6:32.7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 0 24575,'0'7'0,"0"2"0,0 3 0,0 2 0,0-2 0,0-2 0,0 1 0,0-1 0,0 2 0,0-1 0,0-1 0,0 0 0,0 1 0,0 0 0,0-2 0,0-1 0,0 0 0,0 0 0,0 0 0,0 0 0,0 0 0,0 1 0,0 1 0,0 0 0,0-1 0,-2-2 0,0 1 0,-1-5 0,2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6:37.51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10 24575,'4'0'0,"2"0"0,-1-2 0,2 0 0,3-1 0,2 1 0,1 2 0,-1 0 0,-4 2 0,-4 4 0,-1 4 0,-2 3 0,-1 1 0,0-2 0,0-2 0,0 0 0,0 0 0,0-2 0,0 2 0,0-1 0,0 0 0,0 0 0,0 0 0,0-1 0,0 0 0,0 0 0,0-1 0,0 0 0,0 1 0,0 1 0,0 3 0,0 0 0,-2-1 0,-2-3 0,-2-2 0,-3-1 0,1-2 0,0-1 0,-1-2 0,2-2 0,4 0 0,3 0 0,3 0 0,4-1 0,0-2 0,2 0 0,1 0 0,0 1 0,0 1 0,1 2 0,-2 0 0,-2 1 0,2 0 0,-2 0 0,1 0 0,1 0 0,0 0 0,-2 1 0,-2 3 0,-2 1 0,-3 3 0,0 0 0,0 1 0,0 1 0,0-1 0,0 1 0,0 1 0,0-1 0,0 1 0,0 0 0,0-2 0,-1-1 0,-1-1 0,-3 0 0,1 1 0,-1-1 0,1 0 0,1 1 0,-1-3 0,1 1 0,-1-2 0,0 0 0,0 0 0,-1 1 0,-1 2 0,-2-3 0,0 3 0,0-3 0,4 1 0,-1-1 0,-2-1 0,0 0 0,-1-1 0,0 1 0,-1-1 0,5-2 0,0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6:47.16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 1 24575,'0'7'0,"0"0"0,0 2 0,0-1 0,0-1 0,0 4 0,0-1 0,0 1 0,0-1 0,0-3 0,0 2 0,0-1 0,0 1 0,0 0 0,0-2 0,0 1 0,0 1 0,0-1 0,0 2 0,0-3 0,0 2 0,0-1 0,0-1 0,0 2 0,0-1 0,0 0 0,0 0 0,0 1 0,0 0 0,0-2 0,0 2 0,0-1 0,0 2 0,-1-1 0,-1 0 0,1-4 0,-1-2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6:50.86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17 73 24575,'1'-4'0,"6"-1"0,2 0 0,4-2 0,2-3 0,-2 0 0,1 0 0,-1 3 0,-2 3 0,-1 0 0,-1 1 0,-2 2 0,2 0 0,0 1 0,0-1 0,-1 1 0,1 0 0,-1 0 0,1 0 0,-2 1 0,-2 4 0,-2 2 0,-2 5 0,2 3 0,-1 2 0,1 0 0,-2-1 0,-1 0 0,0 1 0,0 1 0,0-1 0,0-2 0,0-3 0,0-3 0,0 3 0,0 0 0,0 2 0,-2-1 0,-3 0 0,-2-1 0,-3 0 0,-1 0 0,1-2 0,-2 0 0,3-1 0,-2 1 0,1-1 0,-1 0 0,-1-1 0,-1-1 0,-3-3 0,1-2 0,0-1 0,2-1 0,2 0 0,0 0 0,2-2 0,2-3 0,3-4 0,4-5 0,0-3 0,3 0 0,4 0 0,3 3 0,4 1 0,1 2 0,0 2 0,0 3 0,-2 4 0,-1 2 0,-1 0 0,-1 0 0,3 0 0,1 0 0,0 0 0,-2 0 0,-3 0 0,-1 0 0,-2 1 0,0 1 0,2 2 0,-2 2 0,4 1 0,-3 1 0,1 0 0,0 2 0,-2 0 0,2 2 0,0-1 0,0 0 0,1 1 0,-3 0 0,1-2 0,-1 0 0,-2-2 0,2-1 0,-2 1 0,1 2 0,-2-4 0,0-1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6:14.89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17 24575,'0'7'0,"0"1"0,0 4 0,0 0 0,0 0 0,0 2 0,0 0 0,0-2 0,0 2 0,0-5 0,0 1 0,0 0 0,0-3 0,0 1 0,0 0 0,0 1 0,0 0 0,0 0 0,0-1 0,0 0 0,0-1 0,0 0 0,0 2 0,0 0 0,0 0 0,0 0 0,0-4 0,0-1 0</inkml:trace>
  <inkml:trace contextRef="#ctx0" brushRef="#br0" timeOffset="3067">128 74 24575,'0'5'0,"0"0"0,0 4 0,0 1 0,0 0 0,0 1 0,0-1 0,0 0 0,0 1 0,0-3 0,0 0 0,2-4 0,2-3 0,4-5 0,0-1 0,3-2 0,3-1 0,-1 3 0,1 0 0,-3 2 0,-1 0 0,-1 1 0,1-2 0,-1 2 0,0-2 0,0-1 0,1 2 0,-2 1 0,1 2 0,0-1 0,-1 1 0,2 0 0,-2 0 0,-2 0 0,-2 0 0</inkml:trace>
  <inkml:trace contextRef="#ctx0" brushRef="#br0" timeOffset="4950">323 1 24575,'0'6'0,"0"3"0,0 8 0,0 3 0,0 1 0,0 3 0,0-2 0,0-1 0,0 1 0,0-3 0,0-2 0,0 0 0,0-3 0,0-2 0,0 1 0,0 0 0,0 3 0,0-2 0,0-2 0,0-4 0,0 0 0,0 1 0,0 0 0,0 1 0,0-5 0,0-1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7:01.04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 1 24575,'0'10'0,"0"2"0,0 1 0,0 1 0,0-4 0,0 1 0,0 3 0,0 0 0,0 3 0,0-3 0,0 2 0,0 0 0,0 2 0,0-2 0,0 0 0,0-3 0,0 0 0,0 0 0,0 0 0,0-1 0,0-1 0,0-1 0,0 0 0,0 0 0,-1 0 0,-1 0 0,-1 0 0,-1 0 0,2-5 0,0-2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13:07:04.14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54 9 24575,'1'-4'0,"3"2"0,1 0 0,3 2 0,-1 0 0,-1 0 0,2 0 0,-1 0 0,3 0 0,3 0 0,-1 0 0,-2 1 0,-2 2 0,-1 1 0,-1 2 0,1-1 0,-1-1 0,1 1 0,0 0 0,-4 0 0,2 2 0,-2 2 0,-1 1 0,2 3 0,-1 1 0,-1 2 0,0 4 0,-2 1 0,0 1 0,0 1 0,0 0 0,0-1 0,0 2 0,-1-2 0,-4 0 0,-2-1 0,-5-2 0,0 0 0,-2 0 0,0-1 0,1-1 0,0-3 0,1-4 0,-3-1 0,1-3 0,-2-3 0,1-1 0,1-2 0,0 1 0,3-1 0,4-2 0,3-2 0,1-4 0,2-4 0,2-2 0,5 1 0,8 2 0,9 5 0,4 1 0,2 1 0,-4 0 0,-2-1 0,-2 0 0,-2 1 0,-4 1 0,-2 1 0,-2 2 0,-1 3 0,0 3 0,-1 4 0,-2 5 0,-1 1 0,1 1 0,-3-3 0,1-3 0,0-3 0,-1-1 0,1 2 0,-4-5 0,0 1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696EE-15E2-644A-A011-9783633BB318}">
  <dimension ref="A1:P17"/>
  <sheetViews>
    <sheetView zoomScaleNormal="100" workbookViewId="0">
      <selection activeCell="F1" sqref="F1"/>
    </sheetView>
  </sheetViews>
  <sheetFormatPr defaultColWidth="10.6640625" defaultRowHeight="16" outlineLevelCol="1" x14ac:dyDescent="0.4"/>
  <cols>
    <col min="2" max="2" width="13.83203125" customWidth="1" outlineLevel="1"/>
    <col min="3" max="3" width="10.83203125" customWidth="1" outlineLevel="1"/>
    <col min="4" max="4" width="17.6640625" customWidth="1"/>
    <col min="5" max="5" width="19.1640625" customWidth="1"/>
    <col min="7" max="9" width="10.83203125" customWidth="1" outlineLevel="1"/>
  </cols>
  <sheetData>
    <row r="1" spans="1:16" x14ac:dyDescent="0.4">
      <c r="A1" t="s">
        <v>11</v>
      </c>
      <c r="B1" t="s">
        <v>1</v>
      </c>
      <c r="C1" t="s">
        <v>2</v>
      </c>
      <c r="D1" s="2" t="s">
        <v>0</v>
      </c>
      <c r="E1" s="2" t="s">
        <v>3</v>
      </c>
      <c r="F1" s="2" t="s">
        <v>7</v>
      </c>
      <c r="G1" s="2" t="s">
        <v>4</v>
      </c>
      <c r="H1" s="2" t="s">
        <v>5</v>
      </c>
      <c r="I1" s="2" t="s">
        <v>6</v>
      </c>
      <c r="J1" s="2" t="s">
        <v>12</v>
      </c>
    </row>
    <row r="2" spans="1:16" x14ac:dyDescent="0.4">
      <c r="A2">
        <v>9</v>
      </c>
      <c r="B2">
        <v>1500</v>
      </c>
      <c r="C2">
        <v>200</v>
      </c>
      <c r="D2">
        <f t="shared" ref="D2:D16" si="0">(C2*1000)/B2</f>
        <v>133.33333333333334</v>
      </c>
      <c r="E2" s="1">
        <f t="shared" ref="E2:E16" si="1">AVERAGE(G2:I2)</f>
        <v>4.5507666666666671</v>
      </c>
      <c r="F2">
        <f t="shared" ref="F2:F16" si="2">STDEV(G2:I2)</f>
        <v>2.1408954512851189E-2</v>
      </c>
      <c r="G2" s="1">
        <v>4.57</v>
      </c>
      <c r="H2" s="1">
        <v>4.5545999999999998</v>
      </c>
      <c r="I2" s="1">
        <v>4.5277000000000003</v>
      </c>
      <c r="J2" s="3">
        <v>2.99</v>
      </c>
    </row>
    <row r="3" spans="1:16" x14ac:dyDescent="0.4">
      <c r="A3">
        <v>12</v>
      </c>
      <c r="B3">
        <v>2000</v>
      </c>
      <c r="C3">
        <v>200</v>
      </c>
      <c r="D3">
        <f t="shared" si="0"/>
        <v>100</v>
      </c>
      <c r="E3" s="1">
        <f t="shared" si="1"/>
        <v>4.5501333333333331</v>
      </c>
      <c r="F3">
        <f t="shared" si="2"/>
        <v>1.2016793804228036E-2</v>
      </c>
      <c r="G3" s="1">
        <v>4.5385</v>
      </c>
      <c r="H3" s="1">
        <v>4.5625</v>
      </c>
      <c r="I3" s="1">
        <v>4.5494000000000003</v>
      </c>
      <c r="J3" s="3">
        <v>4.7300000000000004</v>
      </c>
    </row>
    <row r="4" spans="1:16" x14ac:dyDescent="0.4">
      <c r="A4">
        <v>8</v>
      </c>
      <c r="B4">
        <v>1500</v>
      </c>
      <c r="C4">
        <v>175</v>
      </c>
      <c r="D4">
        <f t="shared" si="0"/>
        <v>116.66666666666667</v>
      </c>
      <c r="E4" s="1">
        <f t="shared" si="1"/>
        <v>4.5444333333333331</v>
      </c>
      <c r="F4">
        <f t="shared" si="2"/>
        <v>5.7735026918930574E-4</v>
      </c>
      <c r="G4" s="1">
        <v>4.5450999999999997</v>
      </c>
      <c r="H4" s="1">
        <v>4.5441000000000003</v>
      </c>
      <c r="I4" s="1">
        <v>4.5441000000000003</v>
      </c>
      <c r="J4" s="3">
        <v>4.59</v>
      </c>
    </row>
    <row r="5" spans="1:16" x14ac:dyDescent="0.4">
      <c r="A5">
        <v>4</v>
      </c>
      <c r="B5">
        <v>1000</v>
      </c>
      <c r="C5">
        <v>150</v>
      </c>
      <c r="D5">
        <f t="shared" si="0"/>
        <v>150</v>
      </c>
      <c r="E5" s="1">
        <f t="shared" si="1"/>
        <v>4.5425000000000004</v>
      </c>
      <c r="F5">
        <f t="shared" si="2"/>
        <v>1.1852847759082959E-2</v>
      </c>
      <c r="G5" s="1">
        <v>4.5545</v>
      </c>
      <c r="H5" s="1">
        <v>4.5422000000000002</v>
      </c>
      <c r="I5" s="1">
        <v>4.5308000000000002</v>
      </c>
      <c r="J5" s="3">
        <v>3.63</v>
      </c>
    </row>
    <row r="6" spans="1:16" x14ac:dyDescent="0.4">
      <c r="A6">
        <v>11</v>
      </c>
      <c r="B6">
        <v>2000</v>
      </c>
      <c r="C6">
        <v>175</v>
      </c>
      <c r="D6">
        <f t="shared" si="0"/>
        <v>87.5</v>
      </c>
      <c r="E6" s="1">
        <f t="shared" si="1"/>
        <v>4.5411000000000001</v>
      </c>
      <c r="F6">
        <f t="shared" si="2"/>
        <v>5.4286278192559236E-3</v>
      </c>
      <c r="G6" s="1">
        <v>4.5392999999999999</v>
      </c>
      <c r="H6" s="1">
        <v>4.5472000000000001</v>
      </c>
      <c r="I6" s="1">
        <v>4.5368000000000004</v>
      </c>
      <c r="J6" s="3"/>
    </row>
    <row r="7" spans="1:16" x14ac:dyDescent="0.4">
      <c r="A7">
        <v>7</v>
      </c>
      <c r="B7">
        <v>1500</v>
      </c>
      <c r="C7">
        <v>150</v>
      </c>
      <c r="D7">
        <f t="shared" si="0"/>
        <v>100</v>
      </c>
      <c r="E7" s="1">
        <f t="shared" si="1"/>
        <v>4.5376666666666665</v>
      </c>
      <c r="F7">
        <f t="shared" si="2"/>
        <v>7.1395611443097595E-3</v>
      </c>
      <c r="G7" s="1">
        <v>4.5368000000000004</v>
      </c>
      <c r="H7" s="1">
        <v>4.5309999999999997</v>
      </c>
      <c r="I7" s="1">
        <v>4.5452000000000004</v>
      </c>
      <c r="J7" s="3">
        <v>2.72</v>
      </c>
    </row>
    <row r="8" spans="1:16" x14ac:dyDescent="0.4">
      <c r="A8">
        <v>6</v>
      </c>
      <c r="B8">
        <v>1000</v>
      </c>
      <c r="C8">
        <v>200</v>
      </c>
      <c r="D8">
        <f t="shared" si="0"/>
        <v>200</v>
      </c>
      <c r="E8" s="1">
        <f t="shared" si="1"/>
        <v>4.5255333333333327</v>
      </c>
      <c r="F8">
        <f t="shared" si="2"/>
        <v>9.5049110113312896E-3</v>
      </c>
      <c r="G8" s="1">
        <v>4.5151000000000003</v>
      </c>
      <c r="H8" s="1">
        <v>4.5336999999999996</v>
      </c>
      <c r="I8" s="1">
        <v>4.5278</v>
      </c>
      <c r="J8" s="3"/>
    </row>
    <row r="9" spans="1:16" x14ac:dyDescent="0.4">
      <c r="A9">
        <v>5</v>
      </c>
      <c r="B9">
        <v>1000</v>
      </c>
      <c r="C9">
        <v>175</v>
      </c>
      <c r="D9">
        <f t="shared" si="0"/>
        <v>175</v>
      </c>
      <c r="E9" s="1">
        <f t="shared" si="1"/>
        <v>4.5234666666666667</v>
      </c>
      <c r="F9">
        <f t="shared" si="2"/>
        <v>1.4645590917860739E-2</v>
      </c>
      <c r="G9" s="1">
        <v>4.5373999999999999</v>
      </c>
      <c r="H9" s="1">
        <v>4.5247999999999999</v>
      </c>
      <c r="I9" s="1">
        <v>4.5082000000000004</v>
      </c>
      <c r="J9" s="3"/>
    </row>
    <row r="10" spans="1:16" x14ac:dyDescent="0.4">
      <c r="A10">
        <v>15</v>
      </c>
      <c r="B10">
        <v>2500</v>
      </c>
      <c r="C10">
        <v>200</v>
      </c>
      <c r="D10">
        <f t="shared" si="0"/>
        <v>80</v>
      </c>
      <c r="E10" s="1">
        <f t="shared" si="1"/>
        <v>4.5085666666666668</v>
      </c>
      <c r="F10">
        <f t="shared" si="2"/>
        <v>1.6289055630489817E-3</v>
      </c>
      <c r="G10" s="1">
        <v>4.5067000000000004</v>
      </c>
      <c r="H10" s="1">
        <v>4.5096999999999996</v>
      </c>
      <c r="I10" s="1">
        <v>4.5092999999999996</v>
      </c>
      <c r="J10" s="3"/>
    </row>
    <row r="11" spans="1:16" x14ac:dyDescent="0.4">
      <c r="A11">
        <v>1</v>
      </c>
      <c r="B11">
        <v>500</v>
      </c>
      <c r="C11">
        <v>150</v>
      </c>
      <c r="D11">
        <f t="shared" si="0"/>
        <v>300</v>
      </c>
      <c r="E11" s="1">
        <f t="shared" si="1"/>
        <v>4.4891666666666667</v>
      </c>
      <c r="F11">
        <f t="shared" si="2"/>
        <v>7.6159919467744964E-3</v>
      </c>
      <c r="G11" s="1">
        <v>4.4833999999999996</v>
      </c>
      <c r="H11" s="1">
        <v>4.4863</v>
      </c>
      <c r="I11" s="1">
        <v>4.4977999999999998</v>
      </c>
      <c r="J11" s="3"/>
    </row>
    <row r="12" spans="1:16" x14ac:dyDescent="0.4">
      <c r="A12">
        <v>14</v>
      </c>
      <c r="B12">
        <v>2500</v>
      </c>
      <c r="C12">
        <v>175</v>
      </c>
      <c r="D12">
        <f t="shared" si="0"/>
        <v>70</v>
      </c>
      <c r="E12" s="1">
        <f t="shared" si="1"/>
        <v>4.4682000000000004</v>
      </c>
      <c r="F12">
        <f t="shared" si="2"/>
        <v>2.9715315916205246E-3</v>
      </c>
      <c r="G12" s="1">
        <v>4.4648000000000003</v>
      </c>
      <c r="H12" s="1">
        <v>4.4702999999999999</v>
      </c>
      <c r="I12" s="1">
        <v>4.4695</v>
      </c>
      <c r="J12" s="3"/>
      <c r="P12" s="3"/>
    </row>
    <row r="13" spans="1:16" x14ac:dyDescent="0.4">
      <c r="A13">
        <v>10</v>
      </c>
      <c r="B13">
        <v>2000</v>
      </c>
      <c r="C13">
        <v>150</v>
      </c>
      <c r="D13">
        <f t="shared" si="0"/>
        <v>75</v>
      </c>
      <c r="E13" s="1">
        <f t="shared" si="1"/>
        <v>4.4626333333333328</v>
      </c>
      <c r="F13">
        <f t="shared" si="2"/>
        <v>1.6400101625701297E-2</v>
      </c>
      <c r="G13" s="1">
        <v>4.4744000000000002</v>
      </c>
      <c r="H13" s="1">
        <v>4.4695999999999998</v>
      </c>
      <c r="I13" s="1">
        <v>4.4439000000000002</v>
      </c>
      <c r="J13" s="3"/>
      <c r="P13" s="3"/>
    </row>
    <row r="14" spans="1:16" x14ac:dyDescent="0.4">
      <c r="A14">
        <v>2</v>
      </c>
      <c r="B14">
        <v>500</v>
      </c>
      <c r="C14">
        <v>175</v>
      </c>
      <c r="D14">
        <f t="shared" si="0"/>
        <v>350</v>
      </c>
      <c r="E14" s="1">
        <f t="shared" si="1"/>
        <v>4.4379999999999997</v>
      </c>
      <c r="F14">
        <f t="shared" si="2"/>
        <v>2.0636860226303805E-2</v>
      </c>
      <c r="G14" s="1">
        <v>4.4565999999999999</v>
      </c>
      <c r="H14" s="1">
        <v>4.4416000000000002</v>
      </c>
      <c r="I14" s="1">
        <v>4.4157999999999999</v>
      </c>
      <c r="J14" s="3"/>
      <c r="P14" s="3"/>
    </row>
    <row r="15" spans="1:16" x14ac:dyDescent="0.4">
      <c r="A15">
        <v>3</v>
      </c>
      <c r="B15">
        <v>500</v>
      </c>
      <c r="C15">
        <v>200</v>
      </c>
      <c r="D15">
        <f t="shared" si="0"/>
        <v>400</v>
      </c>
      <c r="E15" s="1">
        <f t="shared" si="1"/>
        <v>4.4131333333333336</v>
      </c>
      <c r="F15">
        <f t="shared" si="2"/>
        <v>1.6657230662187814E-2</v>
      </c>
      <c r="G15" s="1">
        <v>4.4226000000000001</v>
      </c>
      <c r="H15" s="1">
        <v>4.4229000000000003</v>
      </c>
      <c r="I15" s="1">
        <v>4.3939000000000004</v>
      </c>
      <c r="J15" s="3"/>
      <c r="P15" s="3"/>
    </row>
    <row r="16" spans="1:16" x14ac:dyDescent="0.4">
      <c r="A16">
        <v>13</v>
      </c>
      <c r="B16">
        <v>2500</v>
      </c>
      <c r="C16">
        <v>150</v>
      </c>
      <c r="D16">
        <f t="shared" si="0"/>
        <v>60</v>
      </c>
      <c r="E16" s="1">
        <f t="shared" si="1"/>
        <v>4.3520666666666665</v>
      </c>
      <c r="F16">
        <f t="shared" si="2"/>
        <v>2.1862372545845308E-2</v>
      </c>
      <c r="G16" s="1">
        <v>4.3280000000000003</v>
      </c>
      <c r="H16" s="1">
        <v>4.3707000000000003</v>
      </c>
      <c r="I16" s="1">
        <v>4.3574999999999999</v>
      </c>
      <c r="J16" s="3"/>
      <c r="P16" s="3"/>
    </row>
    <row r="17" spans="16:16" x14ac:dyDescent="0.4">
      <c r="P17" s="3"/>
    </row>
  </sheetData>
  <sortState xmlns:xlrd2="http://schemas.microsoft.com/office/spreadsheetml/2017/richdata2" ref="A2:J16">
    <sortCondition descending="1" ref="E2:E16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C4F6-0EF5-BC41-B592-C78945E4A5B1}">
  <dimension ref="A1:R17"/>
  <sheetViews>
    <sheetView workbookViewId="0">
      <selection activeCell="K1" sqref="K1"/>
    </sheetView>
  </sheetViews>
  <sheetFormatPr defaultColWidth="10.6640625" defaultRowHeight="16" x14ac:dyDescent="0.4"/>
  <sheetData>
    <row r="1" spans="1:18" x14ac:dyDescent="0.4">
      <c r="A1" s="2" t="s">
        <v>11</v>
      </c>
      <c r="B1" s="2" t="s">
        <v>25</v>
      </c>
      <c r="C1" s="2" t="s">
        <v>24</v>
      </c>
      <c r="D1" s="2" t="s">
        <v>1</v>
      </c>
      <c r="E1" s="2" t="s">
        <v>2</v>
      </c>
      <c r="F1" s="2" t="s">
        <v>0</v>
      </c>
      <c r="G1" s="2" t="s">
        <v>13</v>
      </c>
      <c r="H1" s="2" t="s">
        <v>14</v>
      </c>
      <c r="I1" s="2" t="s">
        <v>15</v>
      </c>
      <c r="J1" s="2" t="s">
        <v>3</v>
      </c>
      <c r="K1" s="2" t="s">
        <v>7</v>
      </c>
      <c r="O1" t="s">
        <v>25</v>
      </c>
      <c r="P1">
        <v>1</v>
      </c>
      <c r="Q1">
        <v>2</v>
      </c>
      <c r="R1">
        <v>3</v>
      </c>
    </row>
    <row r="2" spans="1:18" x14ac:dyDescent="0.4">
      <c r="A2">
        <v>1</v>
      </c>
      <c r="B2">
        <v>1</v>
      </c>
      <c r="C2">
        <v>1</v>
      </c>
      <c r="D2">
        <v>1000</v>
      </c>
      <c r="E2">
        <v>150</v>
      </c>
      <c r="F2">
        <f t="shared" ref="F2:F17" si="0">(E2*1000)/D2</f>
        <v>150</v>
      </c>
      <c r="G2" s="1">
        <v>4.6757999999999997</v>
      </c>
      <c r="H2" s="1">
        <v>4.6738999999999997</v>
      </c>
      <c r="I2" s="1">
        <v>4.6679000000000004</v>
      </c>
      <c r="J2" s="1">
        <f t="shared" ref="J2:J17" si="1">AVERAGE(G2:I2)</f>
        <v>4.672533333333333</v>
      </c>
      <c r="K2">
        <f t="shared" ref="K2:K17" si="2">STDEV(G2:I2)</f>
        <v>4.1235098318459619E-3</v>
      </c>
      <c r="O2">
        <v>1</v>
      </c>
      <c r="P2" s="1">
        <v>4.6757999999999997</v>
      </c>
      <c r="Q2" s="1">
        <v>4.6738999999999997</v>
      </c>
      <c r="R2" s="1">
        <v>4.6679000000000004</v>
      </c>
    </row>
    <row r="3" spans="1:18" x14ac:dyDescent="0.4">
      <c r="A3">
        <v>2</v>
      </c>
      <c r="B3">
        <v>1</v>
      </c>
      <c r="C3">
        <v>2</v>
      </c>
      <c r="D3">
        <v>1500</v>
      </c>
      <c r="E3">
        <v>150</v>
      </c>
      <c r="F3">
        <f t="shared" si="0"/>
        <v>100</v>
      </c>
      <c r="G3" s="1">
        <v>4.7354000000000003</v>
      </c>
      <c r="H3" s="1">
        <v>4.7243000000000004</v>
      </c>
      <c r="I3" s="1">
        <v>4.7344999999999997</v>
      </c>
      <c r="J3" s="1">
        <f t="shared" si="1"/>
        <v>4.7314000000000007</v>
      </c>
      <c r="K3">
        <f t="shared" si="2"/>
        <v>6.1652250567191336E-3</v>
      </c>
      <c r="P3" s="1">
        <v>4.7354000000000003</v>
      </c>
      <c r="Q3" s="1">
        <v>4.7243000000000004</v>
      </c>
      <c r="R3" s="1">
        <v>4.7344999999999997</v>
      </c>
    </row>
    <row r="4" spans="1:18" x14ac:dyDescent="0.4">
      <c r="A4">
        <v>3</v>
      </c>
      <c r="B4">
        <v>1</v>
      </c>
      <c r="C4">
        <v>3</v>
      </c>
      <c r="D4">
        <v>1500</v>
      </c>
      <c r="E4">
        <v>200</v>
      </c>
      <c r="F4">
        <f t="shared" si="0"/>
        <v>133.33333333333334</v>
      </c>
      <c r="G4" s="1">
        <v>4.6723999999999997</v>
      </c>
      <c r="H4" s="1">
        <v>4.6695000000000002</v>
      </c>
      <c r="I4" s="1">
        <v>4.6544999999999996</v>
      </c>
      <c r="J4" s="1">
        <f t="shared" si="1"/>
        <v>4.6654666666666662</v>
      </c>
      <c r="K4">
        <f t="shared" si="2"/>
        <v>9.6074623774093336E-3</v>
      </c>
      <c r="P4" s="1">
        <v>4.6723999999999997</v>
      </c>
      <c r="Q4" s="1">
        <v>4.6695000000000002</v>
      </c>
      <c r="R4" s="1">
        <v>4.6544999999999996</v>
      </c>
    </row>
    <row r="5" spans="1:18" x14ac:dyDescent="0.4">
      <c r="A5">
        <v>4</v>
      </c>
      <c r="B5">
        <v>1</v>
      </c>
      <c r="C5">
        <v>4</v>
      </c>
      <c r="D5">
        <v>2000</v>
      </c>
      <c r="E5">
        <v>200</v>
      </c>
      <c r="F5">
        <f t="shared" si="0"/>
        <v>100</v>
      </c>
      <c r="G5" s="1">
        <v>4.6810999999999998</v>
      </c>
      <c r="H5" s="1">
        <v>4.6681999999999997</v>
      </c>
      <c r="I5" s="1">
        <v>4.6731999999999996</v>
      </c>
      <c r="J5" s="1">
        <f t="shared" si="1"/>
        <v>4.6741666666666664</v>
      </c>
      <c r="K5">
        <f t="shared" si="2"/>
        <v>6.5041012702243776E-3</v>
      </c>
      <c r="P5" s="1">
        <v>4.6810999999999998</v>
      </c>
      <c r="Q5" s="1">
        <v>4.6681999999999997</v>
      </c>
      <c r="R5" s="1">
        <v>4.6731999999999996</v>
      </c>
    </row>
    <row r="6" spans="1:18" x14ac:dyDescent="0.4">
      <c r="A6">
        <v>5</v>
      </c>
      <c r="B6">
        <v>2</v>
      </c>
      <c r="C6">
        <v>1</v>
      </c>
      <c r="D6">
        <v>1000</v>
      </c>
      <c r="E6">
        <v>150</v>
      </c>
      <c r="F6">
        <f t="shared" si="0"/>
        <v>150</v>
      </c>
      <c r="G6" s="1">
        <v>4.6375999999999999</v>
      </c>
      <c r="H6" s="1">
        <v>4.6425999999999998</v>
      </c>
      <c r="I6" s="1">
        <v>4.6524999999999999</v>
      </c>
      <c r="J6" s="1">
        <f t="shared" si="1"/>
        <v>4.6442333333333332</v>
      </c>
      <c r="K6">
        <f t="shared" si="2"/>
        <v>7.5830952343573258E-3</v>
      </c>
      <c r="O6">
        <v>2</v>
      </c>
      <c r="P6" s="1">
        <v>4.6375999999999999</v>
      </c>
      <c r="Q6" s="1">
        <v>4.6425999999999998</v>
      </c>
      <c r="R6" s="1">
        <v>4.6524999999999999</v>
      </c>
    </row>
    <row r="7" spans="1:18" x14ac:dyDescent="0.4">
      <c r="A7">
        <v>6</v>
      </c>
      <c r="B7">
        <v>2</v>
      </c>
      <c r="C7">
        <v>2</v>
      </c>
      <c r="D7">
        <v>1500</v>
      </c>
      <c r="E7">
        <v>150</v>
      </c>
      <c r="F7">
        <f t="shared" si="0"/>
        <v>100</v>
      </c>
      <c r="G7" s="1">
        <v>4.7127999999999997</v>
      </c>
      <c r="H7" s="1">
        <v>4.7119999999999997</v>
      </c>
      <c r="I7" s="1">
        <v>4.6957000000000004</v>
      </c>
      <c r="J7" s="1">
        <f t="shared" si="1"/>
        <v>4.706833333333333</v>
      </c>
      <c r="K7">
        <f t="shared" si="2"/>
        <v>9.6500431777959E-3</v>
      </c>
      <c r="P7" s="1">
        <v>4.7127999999999997</v>
      </c>
      <c r="Q7" s="1">
        <v>4.7119999999999997</v>
      </c>
      <c r="R7" s="1">
        <v>4.6957000000000004</v>
      </c>
    </row>
    <row r="8" spans="1:18" x14ac:dyDescent="0.4">
      <c r="A8">
        <v>7</v>
      </c>
      <c r="B8">
        <v>2</v>
      </c>
      <c r="C8">
        <v>3</v>
      </c>
      <c r="D8">
        <v>1500</v>
      </c>
      <c r="E8">
        <v>200</v>
      </c>
      <c r="F8">
        <f t="shared" si="0"/>
        <v>133.33333333333334</v>
      </c>
      <c r="G8" s="1">
        <v>4.6589999999999998</v>
      </c>
      <c r="H8" s="1">
        <v>4.6391</v>
      </c>
      <c r="I8" s="1">
        <v>4.6490999999999998</v>
      </c>
      <c r="J8" s="1">
        <f t="shared" si="1"/>
        <v>4.6490666666666662</v>
      </c>
      <c r="K8">
        <f t="shared" si="2"/>
        <v>9.9500418759586838E-3</v>
      </c>
      <c r="P8" s="1">
        <v>4.6589999999999998</v>
      </c>
      <c r="Q8" s="1">
        <v>4.6391</v>
      </c>
      <c r="R8" s="1">
        <v>4.6490999999999998</v>
      </c>
    </row>
    <row r="9" spans="1:18" x14ac:dyDescent="0.4">
      <c r="A9">
        <v>8</v>
      </c>
      <c r="B9">
        <v>2</v>
      </c>
      <c r="C9">
        <v>4</v>
      </c>
      <c r="D9">
        <v>2000</v>
      </c>
      <c r="E9">
        <v>200</v>
      </c>
      <c r="F9">
        <f t="shared" si="0"/>
        <v>100</v>
      </c>
      <c r="G9" s="1">
        <v>4.6657999999999999</v>
      </c>
      <c r="H9" s="1">
        <v>4.6578999999999997</v>
      </c>
      <c r="I9" s="1">
        <v>4.6567999999999996</v>
      </c>
      <c r="J9" s="1">
        <f t="shared" si="1"/>
        <v>4.6601666666666661</v>
      </c>
      <c r="K9">
        <f t="shared" si="2"/>
        <v>4.9095145720666747E-3</v>
      </c>
      <c r="P9" s="1">
        <v>4.6657999999999999</v>
      </c>
      <c r="Q9" s="1">
        <v>4.6578999999999997</v>
      </c>
      <c r="R9" s="1">
        <v>4.6567999999999996</v>
      </c>
    </row>
    <row r="10" spans="1:18" x14ac:dyDescent="0.4">
      <c r="A10" s="5" t="s">
        <v>16</v>
      </c>
      <c r="B10" s="5">
        <v>3</v>
      </c>
      <c r="C10">
        <v>1</v>
      </c>
      <c r="D10">
        <v>1000</v>
      </c>
      <c r="E10">
        <v>150</v>
      </c>
      <c r="F10">
        <f t="shared" si="0"/>
        <v>150</v>
      </c>
      <c r="G10" s="1">
        <v>4.6775000000000002</v>
      </c>
      <c r="H10" s="1">
        <v>4.6516999999999999</v>
      </c>
      <c r="I10" s="1">
        <v>4.6527000000000003</v>
      </c>
      <c r="J10" s="1">
        <f t="shared" si="1"/>
        <v>4.6606333333333332</v>
      </c>
      <c r="K10">
        <f t="shared" si="2"/>
        <v>1.4615516868497509E-2</v>
      </c>
      <c r="O10">
        <v>3</v>
      </c>
      <c r="P10" s="1">
        <v>4.6775000000000002</v>
      </c>
      <c r="Q10" s="1">
        <v>4.6516999999999999</v>
      </c>
      <c r="R10" s="1">
        <v>4.6527000000000003</v>
      </c>
    </row>
    <row r="11" spans="1:18" x14ac:dyDescent="0.4">
      <c r="A11" s="5" t="s">
        <v>17</v>
      </c>
      <c r="B11" s="5">
        <v>3</v>
      </c>
      <c r="C11">
        <v>2</v>
      </c>
      <c r="D11">
        <v>1500</v>
      </c>
      <c r="E11">
        <v>150</v>
      </c>
      <c r="F11">
        <f t="shared" si="0"/>
        <v>100</v>
      </c>
      <c r="G11" s="1">
        <v>4.7138999999999998</v>
      </c>
      <c r="H11" s="1">
        <v>4.7171000000000003</v>
      </c>
      <c r="I11" s="1">
        <v>4.7202000000000002</v>
      </c>
      <c r="J11" s="1">
        <f t="shared" si="1"/>
        <v>4.7170666666666667</v>
      </c>
      <c r="K11">
        <f t="shared" si="2"/>
        <v>3.1501322723553461E-3</v>
      </c>
      <c r="P11" s="1">
        <v>4.7138999999999998</v>
      </c>
      <c r="Q11" s="1">
        <v>4.7171000000000003</v>
      </c>
      <c r="R11" s="1">
        <v>4.7202000000000002</v>
      </c>
    </row>
    <row r="12" spans="1:18" x14ac:dyDescent="0.4">
      <c r="A12" s="5" t="s">
        <v>18</v>
      </c>
      <c r="B12" s="5">
        <v>3</v>
      </c>
      <c r="C12">
        <v>3</v>
      </c>
      <c r="D12">
        <v>1500</v>
      </c>
      <c r="E12">
        <v>200</v>
      </c>
      <c r="F12">
        <f t="shared" si="0"/>
        <v>133.33333333333334</v>
      </c>
      <c r="G12" s="1">
        <v>4.6722000000000001</v>
      </c>
      <c r="H12" s="1">
        <v>4.6582999999999997</v>
      </c>
      <c r="I12" s="1">
        <v>4.6554000000000002</v>
      </c>
      <c r="J12" s="1">
        <f t="shared" si="1"/>
        <v>4.6619666666666673</v>
      </c>
      <c r="K12">
        <f t="shared" si="2"/>
        <v>8.9801633244242594E-3</v>
      </c>
      <c r="P12" s="1">
        <v>4.6722000000000001</v>
      </c>
      <c r="Q12" s="1">
        <v>4.6582999999999997</v>
      </c>
      <c r="R12" s="1">
        <v>4.6554000000000002</v>
      </c>
    </row>
    <row r="13" spans="1:18" x14ac:dyDescent="0.4">
      <c r="A13" s="5" t="s">
        <v>19</v>
      </c>
      <c r="B13" s="5">
        <v>3</v>
      </c>
      <c r="C13">
        <v>4</v>
      </c>
      <c r="D13">
        <v>2000</v>
      </c>
      <c r="E13">
        <v>200</v>
      </c>
      <c r="F13">
        <f t="shared" si="0"/>
        <v>100</v>
      </c>
      <c r="G13" s="1">
        <v>4.6707999999999998</v>
      </c>
      <c r="H13" s="1">
        <v>4.6628999999999996</v>
      </c>
      <c r="I13" s="1">
        <v>4.6497999999999999</v>
      </c>
      <c r="J13" s="1">
        <f t="shared" si="1"/>
        <v>4.6611666666666665</v>
      </c>
      <c r="K13">
        <f t="shared" si="2"/>
        <v>1.0606758851474463E-2</v>
      </c>
      <c r="P13" s="1">
        <v>4.6707999999999998</v>
      </c>
      <c r="Q13" s="1">
        <v>4.6628999999999996</v>
      </c>
      <c r="R13" s="1">
        <v>4.6497999999999999</v>
      </c>
    </row>
    <row r="14" spans="1:18" x14ac:dyDescent="0.4">
      <c r="A14" s="6" t="s">
        <v>20</v>
      </c>
      <c r="B14" s="6">
        <v>4</v>
      </c>
      <c r="C14">
        <v>1</v>
      </c>
      <c r="D14">
        <v>1000</v>
      </c>
      <c r="E14">
        <v>150</v>
      </c>
      <c r="F14">
        <f t="shared" si="0"/>
        <v>150</v>
      </c>
      <c r="G14" s="1">
        <v>4.6867999999999999</v>
      </c>
      <c r="H14" s="1">
        <v>4.6848999999999998</v>
      </c>
      <c r="I14" s="1">
        <v>4.7039999999999997</v>
      </c>
      <c r="J14" s="1">
        <f t="shared" si="1"/>
        <v>4.6919000000000004</v>
      </c>
      <c r="K14">
        <f t="shared" si="2"/>
        <v>1.0521881960942095E-2</v>
      </c>
      <c r="O14">
        <v>4</v>
      </c>
      <c r="P14" s="1">
        <v>4.6867999999999999</v>
      </c>
      <c r="Q14" s="1">
        <v>4.6848999999999998</v>
      </c>
      <c r="R14" s="1">
        <v>4.7039999999999997</v>
      </c>
    </row>
    <row r="15" spans="1:18" x14ac:dyDescent="0.4">
      <c r="A15" s="6" t="s">
        <v>21</v>
      </c>
      <c r="B15" s="6">
        <v>4</v>
      </c>
      <c r="C15">
        <v>2</v>
      </c>
      <c r="D15">
        <v>1500</v>
      </c>
      <c r="E15">
        <v>150</v>
      </c>
      <c r="F15">
        <f t="shared" si="0"/>
        <v>100</v>
      </c>
      <c r="G15" s="1">
        <v>4.7404999999999999</v>
      </c>
      <c r="H15" s="1">
        <v>4.7458</v>
      </c>
      <c r="I15" s="1">
        <v>4.7539999999999996</v>
      </c>
      <c r="J15" s="1">
        <f t="shared" si="1"/>
        <v>4.7467666666666668</v>
      </c>
      <c r="K15">
        <f t="shared" si="2"/>
        <v>6.8017154698892341E-3</v>
      </c>
      <c r="P15" s="1">
        <v>4.7404999999999999</v>
      </c>
      <c r="Q15" s="1">
        <v>4.7458</v>
      </c>
      <c r="R15" s="1">
        <v>4.7539999999999996</v>
      </c>
    </row>
    <row r="16" spans="1:18" x14ac:dyDescent="0.4">
      <c r="A16" s="6" t="s">
        <v>22</v>
      </c>
      <c r="B16" s="6">
        <v>4</v>
      </c>
      <c r="C16">
        <v>3</v>
      </c>
      <c r="D16">
        <v>1500</v>
      </c>
      <c r="E16">
        <v>200</v>
      </c>
      <c r="F16">
        <f t="shared" si="0"/>
        <v>133.33333333333334</v>
      </c>
      <c r="G16" s="1">
        <v>4.6959</v>
      </c>
      <c r="H16" s="1">
        <v>4.7100999999999997</v>
      </c>
      <c r="I16" s="1">
        <v>4.7091000000000003</v>
      </c>
      <c r="J16" s="1">
        <f t="shared" si="1"/>
        <v>4.7050333333333327</v>
      </c>
      <c r="K16">
        <f t="shared" si="2"/>
        <v>7.9254863152574719E-3</v>
      </c>
      <c r="P16" s="1">
        <v>4.6959</v>
      </c>
      <c r="Q16" s="1">
        <v>4.7100999999999997</v>
      </c>
      <c r="R16" s="1">
        <v>4.7091000000000003</v>
      </c>
    </row>
    <row r="17" spans="1:18" x14ac:dyDescent="0.4">
      <c r="A17" s="6" t="s">
        <v>23</v>
      </c>
      <c r="B17" s="6">
        <v>4</v>
      </c>
      <c r="C17">
        <v>4</v>
      </c>
      <c r="D17">
        <v>2000</v>
      </c>
      <c r="E17">
        <v>200</v>
      </c>
      <c r="F17">
        <f t="shared" si="0"/>
        <v>100</v>
      </c>
      <c r="G17" s="1">
        <v>4.6965000000000003</v>
      </c>
      <c r="H17" s="1">
        <v>4.6936</v>
      </c>
      <c r="I17" s="1">
        <v>4.6925999999999997</v>
      </c>
      <c r="J17" s="1">
        <f t="shared" si="1"/>
        <v>4.694233333333333</v>
      </c>
      <c r="K17">
        <f t="shared" si="2"/>
        <v>2.0256686138987951E-3</v>
      </c>
      <c r="P17" s="1">
        <v>4.6965000000000003</v>
      </c>
      <c r="Q17" s="1">
        <v>4.6936</v>
      </c>
      <c r="R17" s="1">
        <v>4.6925999999999997</v>
      </c>
    </row>
  </sheetData>
  <sortState xmlns:xlrd2="http://schemas.microsoft.com/office/spreadsheetml/2017/richdata2" ref="A2:K17">
    <sortCondition ref="A2:A17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EC26B-81AC-394E-9A3C-F63DC0D25EE7}">
  <dimension ref="A1:M43"/>
  <sheetViews>
    <sheetView tabSelected="1" zoomScale="132" workbookViewId="0">
      <selection activeCell="M11" sqref="M11"/>
    </sheetView>
  </sheetViews>
  <sheetFormatPr defaultColWidth="10.6640625" defaultRowHeight="16" outlineLevelCol="1" x14ac:dyDescent="0.4"/>
  <cols>
    <col min="2" max="2" width="12" customWidth="1" outlineLevel="1"/>
    <col min="3" max="3" width="9.5" customWidth="1" outlineLevel="1"/>
    <col min="4" max="4" width="17.83203125" customWidth="1"/>
    <col min="5" max="5" width="19.5" customWidth="1"/>
    <col min="6" max="6" width="13.1640625" customWidth="1"/>
    <col min="7" max="7" width="10.1640625" customWidth="1" outlineLevel="1"/>
    <col min="8" max="9" width="9.83203125" customWidth="1" outlineLevel="1"/>
  </cols>
  <sheetData>
    <row r="1" spans="1:13" x14ac:dyDescent="0.4">
      <c r="A1" t="s">
        <v>11</v>
      </c>
      <c r="B1" t="s">
        <v>1</v>
      </c>
      <c r="C1" t="s">
        <v>2</v>
      </c>
      <c r="D1" s="2" t="s">
        <v>0</v>
      </c>
      <c r="E1" s="2" t="s">
        <v>3</v>
      </c>
      <c r="F1" s="2" t="s">
        <v>7</v>
      </c>
      <c r="G1" s="2" t="s">
        <v>4</v>
      </c>
      <c r="H1" s="2" t="s">
        <v>5</v>
      </c>
      <c r="I1" s="2" t="s">
        <v>6</v>
      </c>
      <c r="J1" s="2" t="s">
        <v>8</v>
      </c>
      <c r="K1" s="2" t="s">
        <v>9</v>
      </c>
      <c r="L1" s="2" t="s">
        <v>10</v>
      </c>
      <c r="M1" s="2" t="s">
        <v>12</v>
      </c>
    </row>
    <row r="2" spans="1:13" x14ac:dyDescent="0.4">
      <c r="A2">
        <v>8</v>
      </c>
      <c r="B2">
        <v>1500</v>
      </c>
      <c r="C2">
        <v>175</v>
      </c>
      <c r="D2">
        <f t="shared" ref="D2:D16" si="0">(C2*1000)/B2</f>
        <v>116.66666666666667</v>
      </c>
      <c r="E2" s="1">
        <f t="shared" ref="E2:E16" si="1">AVERAGE(G2:L2)</f>
        <v>4.8771333333333331</v>
      </c>
      <c r="F2">
        <f t="shared" ref="F2:F16" si="2">STDEV(G2:L2)</f>
        <v>3.410763355418648E-2</v>
      </c>
      <c r="G2" s="1">
        <v>4.8174000000000001</v>
      </c>
      <c r="H2" s="1">
        <v>4.8841000000000001</v>
      </c>
      <c r="I2" s="1">
        <v>4.8582999999999998</v>
      </c>
      <c r="J2" s="1">
        <v>4.9089999999999998</v>
      </c>
      <c r="K2" s="1">
        <v>4.8925000000000001</v>
      </c>
      <c r="L2" s="1">
        <v>4.9015000000000004</v>
      </c>
      <c r="M2" s="4">
        <v>19.489999999999998</v>
      </c>
    </row>
    <row r="3" spans="1:13" x14ac:dyDescent="0.4">
      <c r="A3">
        <v>12</v>
      </c>
      <c r="B3">
        <v>2000</v>
      </c>
      <c r="C3">
        <v>200</v>
      </c>
      <c r="D3">
        <f t="shared" si="0"/>
        <v>100</v>
      </c>
      <c r="E3" s="1">
        <f t="shared" si="1"/>
        <v>4.8750333333333336</v>
      </c>
      <c r="F3">
        <f t="shared" si="2"/>
        <v>1.7337550768971356E-2</v>
      </c>
      <c r="G3" s="1">
        <v>4.8701999999999996</v>
      </c>
      <c r="H3" s="1">
        <v>4.8493000000000004</v>
      </c>
      <c r="I3" s="1">
        <v>4.8639000000000001</v>
      </c>
      <c r="J3" s="1">
        <v>4.8807999999999998</v>
      </c>
      <c r="K3" s="1">
        <v>4.8956999999999997</v>
      </c>
      <c r="L3" s="1">
        <v>4.8902999999999999</v>
      </c>
      <c r="M3" s="4">
        <v>20.350000000000001</v>
      </c>
    </row>
    <row r="4" spans="1:13" x14ac:dyDescent="0.4">
      <c r="A4">
        <v>6</v>
      </c>
      <c r="B4">
        <v>1000</v>
      </c>
      <c r="C4">
        <v>200</v>
      </c>
      <c r="D4">
        <f t="shared" si="0"/>
        <v>200</v>
      </c>
      <c r="E4" s="1">
        <f t="shared" si="1"/>
        <v>4.8749666666666682</v>
      </c>
      <c r="F4">
        <f t="shared" si="2"/>
        <v>1.1086688715151673E-2</v>
      </c>
      <c r="G4" s="1">
        <v>4.8571999999999997</v>
      </c>
      <c r="H4" s="1">
        <v>4.8710000000000004</v>
      </c>
      <c r="I4" s="1">
        <v>4.87</v>
      </c>
      <c r="J4" s="1">
        <v>4.8851000000000004</v>
      </c>
      <c r="K4" s="1">
        <v>4.8863000000000003</v>
      </c>
      <c r="L4" s="1">
        <v>4.8802000000000003</v>
      </c>
      <c r="M4" s="4">
        <v>21.54</v>
      </c>
    </row>
    <row r="5" spans="1:13" x14ac:dyDescent="0.4">
      <c r="A5">
        <v>7</v>
      </c>
      <c r="B5">
        <v>1500</v>
      </c>
      <c r="C5">
        <v>150</v>
      </c>
      <c r="D5">
        <f t="shared" si="0"/>
        <v>100</v>
      </c>
      <c r="E5" s="1">
        <f t="shared" si="1"/>
        <v>4.8570000000000002</v>
      </c>
      <c r="F5">
        <f t="shared" si="2"/>
        <v>2.773286858584937E-2</v>
      </c>
      <c r="G5" s="1">
        <v>4.8219000000000003</v>
      </c>
      <c r="H5" s="1">
        <v>4.8300999999999998</v>
      </c>
      <c r="I5" s="1">
        <v>4.8552</v>
      </c>
      <c r="J5" s="1">
        <v>4.8964999999999996</v>
      </c>
      <c r="K5" s="1">
        <v>4.8651999999999997</v>
      </c>
      <c r="L5" s="1">
        <v>4.8731</v>
      </c>
      <c r="M5" s="3">
        <v>16.72</v>
      </c>
    </row>
    <row r="6" spans="1:13" x14ac:dyDescent="0.4">
      <c r="A6">
        <v>4</v>
      </c>
      <c r="B6">
        <v>1000</v>
      </c>
      <c r="C6">
        <v>150</v>
      </c>
      <c r="D6">
        <f t="shared" si="0"/>
        <v>150</v>
      </c>
      <c r="E6" s="1">
        <f t="shared" si="1"/>
        <v>4.8389499999999996</v>
      </c>
      <c r="F6">
        <f t="shared" si="2"/>
        <v>2.5207598060902184E-2</v>
      </c>
      <c r="G6" s="1">
        <v>4.8217999999999996</v>
      </c>
      <c r="H6" s="1">
        <v>4.8137999999999996</v>
      </c>
      <c r="I6" s="1">
        <v>4.8394000000000004</v>
      </c>
      <c r="J6" s="1">
        <v>4.8682999999999996</v>
      </c>
      <c r="K6" s="1">
        <v>4.8708</v>
      </c>
      <c r="L6" s="1">
        <v>4.8196000000000003</v>
      </c>
      <c r="M6" s="4"/>
    </row>
    <row r="7" spans="1:13" x14ac:dyDescent="0.4">
      <c r="A7">
        <v>15</v>
      </c>
      <c r="B7">
        <v>2500</v>
      </c>
      <c r="C7">
        <v>200</v>
      </c>
      <c r="D7">
        <f t="shared" si="0"/>
        <v>80</v>
      </c>
      <c r="E7" s="1">
        <f t="shared" si="1"/>
        <v>4.8355166666666669</v>
      </c>
      <c r="F7">
        <f t="shared" si="2"/>
        <v>2.0128329952250616E-2</v>
      </c>
      <c r="G7" s="1">
        <v>4.8148999999999997</v>
      </c>
      <c r="H7" s="1">
        <v>4.8376000000000001</v>
      </c>
      <c r="I7" s="1">
        <v>4.8438999999999997</v>
      </c>
      <c r="J7" s="1">
        <v>4.8127000000000004</v>
      </c>
      <c r="K7" s="1">
        <v>4.8672000000000004</v>
      </c>
      <c r="L7" s="1">
        <v>4.8368000000000002</v>
      </c>
      <c r="M7" s="4">
        <v>18.12</v>
      </c>
    </row>
    <row r="8" spans="1:13" x14ac:dyDescent="0.4">
      <c r="A8">
        <v>1</v>
      </c>
      <c r="B8">
        <v>500</v>
      </c>
      <c r="C8">
        <v>150</v>
      </c>
      <c r="D8">
        <f t="shared" si="0"/>
        <v>300</v>
      </c>
      <c r="E8" s="1">
        <f t="shared" si="1"/>
        <v>4.8305833333333332</v>
      </c>
      <c r="F8">
        <f t="shared" si="2"/>
        <v>2.8271569936363053E-2</v>
      </c>
      <c r="G8" s="1">
        <v>4.8232999999999997</v>
      </c>
      <c r="H8" s="1">
        <v>4.8011999999999997</v>
      </c>
      <c r="I8" s="1">
        <v>4.8155000000000001</v>
      </c>
      <c r="J8" s="1">
        <v>4.8589000000000002</v>
      </c>
      <c r="K8" s="1">
        <v>4.8720999999999997</v>
      </c>
      <c r="L8" s="1">
        <v>4.8125</v>
      </c>
      <c r="M8" s="4"/>
    </row>
    <row r="9" spans="1:13" x14ac:dyDescent="0.4">
      <c r="A9">
        <v>5</v>
      </c>
      <c r="B9">
        <v>1000</v>
      </c>
      <c r="C9">
        <v>175</v>
      </c>
      <c r="D9">
        <f t="shared" si="0"/>
        <v>175</v>
      </c>
      <c r="E9" s="1">
        <f t="shared" si="1"/>
        <v>4.8194999999999988</v>
      </c>
      <c r="F9">
        <f t="shared" si="2"/>
        <v>3.0706611665893575E-2</v>
      </c>
      <c r="G9" s="1">
        <v>4.7972000000000001</v>
      </c>
      <c r="H9" s="1">
        <v>4.8011999999999997</v>
      </c>
      <c r="I9" s="1">
        <v>4.7891000000000004</v>
      </c>
      <c r="J9" s="1">
        <v>4.8632999999999997</v>
      </c>
      <c r="K9" s="1">
        <v>4.8513999999999999</v>
      </c>
      <c r="L9" s="1">
        <v>4.8148</v>
      </c>
      <c r="M9" s="4"/>
    </row>
    <row r="10" spans="1:13" x14ac:dyDescent="0.4">
      <c r="A10">
        <v>14</v>
      </c>
      <c r="B10">
        <v>2500</v>
      </c>
      <c r="C10">
        <v>175</v>
      </c>
      <c r="D10">
        <f t="shared" si="0"/>
        <v>70</v>
      </c>
      <c r="E10" s="1">
        <f t="shared" si="1"/>
        <v>4.8168499999999996</v>
      </c>
      <c r="F10">
        <f t="shared" si="2"/>
        <v>1.4827103560709433E-2</v>
      </c>
      <c r="G10" s="1">
        <v>4.8190999999999997</v>
      </c>
      <c r="H10" s="1">
        <v>4.8346</v>
      </c>
      <c r="I10" s="1">
        <v>4.8159999999999998</v>
      </c>
      <c r="J10" s="1">
        <v>4.8230000000000004</v>
      </c>
      <c r="K10" s="1">
        <v>4.7896999999999998</v>
      </c>
      <c r="L10" s="1">
        <v>4.8186999999999998</v>
      </c>
      <c r="M10" s="4"/>
    </row>
    <row r="11" spans="1:13" x14ac:dyDescent="0.4">
      <c r="A11">
        <v>9</v>
      </c>
      <c r="B11">
        <v>1500</v>
      </c>
      <c r="C11">
        <v>200</v>
      </c>
      <c r="D11">
        <f t="shared" si="0"/>
        <v>133.33333333333334</v>
      </c>
      <c r="E11" s="1">
        <f t="shared" si="1"/>
        <v>4.8000499999999997</v>
      </c>
      <c r="F11">
        <f t="shared" si="2"/>
        <v>2.6363288869182953E-2</v>
      </c>
      <c r="G11" s="1">
        <v>4.7830000000000004</v>
      </c>
      <c r="H11" s="1">
        <v>4.7609000000000004</v>
      </c>
      <c r="I11" s="1">
        <v>4.8072999999999997</v>
      </c>
      <c r="J11" s="1">
        <v>4.8392999999999997</v>
      </c>
      <c r="K11" s="1">
        <v>4.8025000000000002</v>
      </c>
      <c r="L11" s="1">
        <v>4.8072999999999997</v>
      </c>
      <c r="M11" s="4">
        <v>15.08</v>
      </c>
    </row>
    <row r="12" spans="1:13" x14ac:dyDescent="0.4">
      <c r="A12">
        <v>2</v>
      </c>
      <c r="B12">
        <v>500</v>
      </c>
      <c r="C12">
        <v>175</v>
      </c>
      <c r="D12">
        <f t="shared" si="0"/>
        <v>350</v>
      </c>
      <c r="E12" s="1">
        <f t="shared" si="1"/>
        <v>4.7827999999999999</v>
      </c>
      <c r="F12">
        <f t="shared" si="2"/>
        <v>2.2872341375556528E-2</v>
      </c>
      <c r="G12" s="1">
        <v>4.7805999999999997</v>
      </c>
      <c r="H12" s="1">
        <v>4.7571000000000003</v>
      </c>
      <c r="I12" s="1">
        <v>4.7821999999999996</v>
      </c>
      <c r="J12" s="1">
        <v>4.7591000000000001</v>
      </c>
      <c r="K12" s="1">
        <v>4.8052999999999999</v>
      </c>
      <c r="L12" s="1">
        <v>4.8125</v>
      </c>
      <c r="M12" s="4"/>
    </row>
    <row r="13" spans="1:13" x14ac:dyDescent="0.4">
      <c r="A13">
        <v>3</v>
      </c>
      <c r="B13">
        <v>500</v>
      </c>
      <c r="C13">
        <v>200</v>
      </c>
      <c r="D13">
        <f t="shared" si="0"/>
        <v>400</v>
      </c>
      <c r="E13" s="1">
        <f t="shared" si="1"/>
        <v>4.78085</v>
      </c>
      <c r="F13">
        <f t="shared" si="2"/>
        <v>2.2021966306395128E-2</v>
      </c>
      <c r="G13" s="1">
        <v>4.7797000000000001</v>
      </c>
      <c r="H13" s="1">
        <v>4.8105000000000002</v>
      </c>
      <c r="I13" s="1">
        <v>4.7671999999999999</v>
      </c>
      <c r="J13" s="1">
        <v>4.7807000000000004</v>
      </c>
      <c r="K13" s="1">
        <v>4.7984999999999998</v>
      </c>
      <c r="L13" s="1">
        <v>4.7484999999999999</v>
      </c>
      <c r="M13" s="4"/>
    </row>
    <row r="14" spans="1:13" x14ac:dyDescent="0.4">
      <c r="A14">
        <v>11</v>
      </c>
      <c r="B14">
        <v>2000</v>
      </c>
      <c r="C14">
        <v>175</v>
      </c>
      <c r="D14">
        <f t="shared" si="0"/>
        <v>87.5</v>
      </c>
      <c r="E14" s="1">
        <f t="shared" si="1"/>
        <v>4.7573333333333325</v>
      </c>
      <c r="F14">
        <f t="shared" si="2"/>
        <v>2.0245855542966415E-2</v>
      </c>
      <c r="G14" s="1">
        <v>4.7535999999999996</v>
      </c>
      <c r="H14" s="1">
        <v>4.7545999999999999</v>
      </c>
      <c r="I14" s="1">
        <v>4.7699999999999996</v>
      </c>
      <c r="J14" s="1">
        <v>4.7884000000000002</v>
      </c>
      <c r="K14" s="1">
        <v>4.7488999999999999</v>
      </c>
      <c r="L14" s="1">
        <v>4.7285000000000004</v>
      </c>
      <c r="M14" s="4"/>
    </row>
    <row r="15" spans="1:13" x14ac:dyDescent="0.4">
      <c r="A15">
        <v>13</v>
      </c>
      <c r="B15">
        <v>2500</v>
      </c>
      <c r="C15">
        <v>150</v>
      </c>
      <c r="D15">
        <f t="shared" si="0"/>
        <v>60</v>
      </c>
      <c r="E15" s="1">
        <f t="shared" si="1"/>
        <v>4.6725333333333339</v>
      </c>
      <c r="F15">
        <f t="shared" si="2"/>
        <v>1.5394241347551508E-2</v>
      </c>
      <c r="G15" s="1">
        <v>4.6470000000000002</v>
      </c>
      <c r="H15" s="1">
        <v>4.6661999999999999</v>
      </c>
      <c r="I15" s="1">
        <v>4.6795</v>
      </c>
      <c r="J15" s="1">
        <v>4.6687000000000003</v>
      </c>
      <c r="K15" s="1">
        <v>4.6840000000000002</v>
      </c>
      <c r="L15" s="1">
        <v>4.6898</v>
      </c>
      <c r="M15" s="4"/>
    </row>
    <row r="16" spans="1:13" x14ac:dyDescent="0.4">
      <c r="A16">
        <v>10</v>
      </c>
      <c r="B16">
        <v>2000</v>
      </c>
      <c r="C16">
        <v>150</v>
      </c>
      <c r="D16">
        <f t="shared" si="0"/>
        <v>75</v>
      </c>
      <c r="E16" s="1">
        <f t="shared" si="1"/>
        <v>4.6513</v>
      </c>
      <c r="F16">
        <f t="shared" si="2"/>
        <v>2.6798208895372138E-2</v>
      </c>
      <c r="G16" s="1">
        <v>4.6405000000000003</v>
      </c>
      <c r="H16" s="1">
        <v>4.6546000000000003</v>
      </c>
      <c r="I16" s="1">
        <v>4.6689999999999996</v>
      </c>
      <c r="J16" s="1">
        <v>4.6158999999999999</v>
      </c>
      <c r="K16" s="1">
        <v>4.6920000000000002</v>
      </c>
      <c r="L16" s="1">
        <v>4.6357999999999997</v>
      </c>
      <c r="M16" s="4"/>
    </row>
    <row r="26" spans="4:9" x14ac:dyDescent="0.4">
      <c r="E26" s="1"/>
      <c r="G26" s="1"/>
      <c r="H26" s="1"/>
      <c r="I26" s="1"/>
    </row>
    <row r="27" spans="4:9" x14ac:dyDescent="0.4">
      <c r="E27" s="1"/>
      <c r="G27" s="1"/>
      <c r="H27" s="1"/>
      <c r="I27" s="1"/>
    </row>
    <row r="28" spans="4:9" x14ac:dyDescent="0.4">
      <c r="D28" s="2"/>
      <c r="E28" s="2"/>
      <c r="F28" s="2"/>
      <c r="G28" s="2"/>
      <c r="H28" s="2"/>
      <c r="I28" s="2"/>
    </row>
    <row r="29" spans="4:9" x14ac:dyDescent="0.4">
      <c r="E29" s="1"/>
      <c r="G29" s="1"/>
      <c r="H29" s="1"/>
      <c r="I29" s="1"/>
    </row>
    <row r="30" spans="4:9" x14ac:dyDescent="0.4">
      <c r="E30" s="1"/>
      <c r="G30" s="1"/>
      <c r="H30" s="1"/>
      <c r="I30" s="1"/>
    </row>
    <row r="31" spans="4:9" x14ac:dyDescent="0.4">
      <c r="E31" s="1"/>
      <c r="G31" s="1"/>
      <c r="H31" s="1"/>
      <c r="I31" s="1"/>
    </row>
    <row r="32" spans="4:9" x14ac:dyDescent="0.4">
      <c r="E32" s="1"/>
      <c r="G32" s="1"/>
      <c r="H32" s="1"/>
      <c r="I32" s="1"/>
    </row>
    <row r="33" spans="5:9" x14ac:dyDescent="0.4">
      <c r="E33" s="1"/>
      <c r="G33" s="1"/>
      <c r="H33" s="1"/>
      <c r="I33" s="1"/>
    </row>
    <row r="34" spans="5:9" x14ac:dyDescent="0.4">
      <c r="E34" s="1"/>
      <c r="G34" s="1"/>
      <c r="H34" s="1"/>
      <c r="I34" s="1"/>
    </row>
    <row r="35" spans="5:9" x14ac:dyDescent="0.4">
      <c r="E35" s="1"/>
      <c r="G35" s="1"/>
      <c r="H35" s="1"/>
      <c r="I35" s="1"/>
    </row>
    <row r="36" spans="5:9" x14ac:dyDescent="0.4">
      <c r="E36" s="1"/>
      <c r="G36" s="1"/>
      <c r="H36" s="1"/>
      <c r="I36" s="1"/>
    </row>
    <row r="37" spans="5:9" x14ac:dyDescent="0.4">
      <c r="E37" s="1"/>
      <c r="G37" s="1"/>
      <c r="H37" s="1"/>
      <c r="I37" s="1"/>
    </row>
    <row r="38" spans="5:9" x14ac:dyDescent="0.4">
      <c r="E38" s="1"/>
      <c r="G38" s="1"/>
      <c r="H38" s="1"/>
      <c r="I38" s="1"/>
    </row>
    <row r="39" spans="5:9" x14ac:dyDescent="0.4">
      <c r="E39" s="1"/>
      <c r="G39" s="1"/>
      <c r="H39" s="1"/>
      <c r="I39" s="1"/>
    </row>
    <row r="40" spans="5:9" x14ac:dyDescent="0.4">
      <c r="E40" s="1"/>
      <c r="G40" s="1"/>
      <c r="H40" s="1"/>
      <c r="I40" s="1"/>
    </row>
    <row r="41" spans="5:9" x14ac:dyDescent="0.4">
      <c r="E41" s="1"/>
      <c r="G41" s="1"/>
      <c r="H41" s="1"/>
      <c r="I41" s="1"/>
    </row>
    <row r="42" spans="5:9" x14ac:dyDescent="0.4">
      <c r="E42" s="1"/>
      <c r="G42" s="1"/>
      <c r="H42" s="1"/>
      <c r="I42" s="1"/>
    </row>
    <row r="43" spans="5:9" x14ac:dyDescent="0.4">
      <c r="E43" s="1"/>
      <c r="G43" s="1"/>
      <c r="H43" s="1"/>
      <c r="I43" s="1"/>
    </row>
  </sheetData>
  <sortState xmlns:xlrd2="http://schemas.microsoft.com/office/spreadsheetml/2017/richdata2" ref="A2:M16">
    <sortCondition descending="1" ref="E2:E16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0F2B0-FFF6-4224-B200-27FC0F03C893}">
  <dimension ref="A1:O20"/>
  <sheetViews>
    <sheetView zoomScaleNormal="100" workbookViewId="0">
      <selection sqref="A1:L1"/>
    </sheetView>
  </sheetViews>
  <sheetFormatPr defaultColWidth="10.6640625" defaultRowHeight="16" outlineLevelCol="1" x14ac:dyDescent="0.4"/>
  <cols>
    <col min="2" max="2" width="13.83203125" customWidth="1" outlineLevel="1"/>
    <col min="3" max="3" width="10.83203125" customWidth="1" outlineLevel="1"/>
    <col min="4" max="4" width="17.6640625" customWidth="1"/>
    <col min="5" max="5" width="19.1640625" customWidth="1"/>
    <col min="7" max="9" width="10.83203125" customWidth="1" outlineLevel="1"/>
  </cols>
  <sheetData>
    <row r="1" spans="1:15" x14ac:dyDescent="0.4">
      <c r="A1" t="s">
        <v>11</v>
      </c>
      <c r="B1" t="s">
        <v>1</v>
      </c>
      <c r="C1" t="s">
        <v>2</v>
      </c>
      <c r="D1" s="2" t="s">
        <v>0</v>
      </c>
      <c r="E1" s="2" t="s">
        <v>3</v>
      </c>
      <c r="F1" s="2" t="s">
        <v>7</v>
      </c>
      <c r="G1" s="2" t="s">
        <v>4</v>
      </c>
      <c r="H1" s="2" t="s">
        <v>5</v>
      </c>
      <c r="I1" s="2" t="s">
        <v>6</v>
      </c>
      <c r="J1" s="2" t="s">
        <v>8</v>
      </c>
      <c r="K1" s="2" t="s">
        <v>9</v>
      </c>
      <c r="L1" s="2" t="s">
        <v>10</v>
      </c>
    </row>
    <row r="2" spans="1:15" x14ac:dyDescent="0.4">
      <c r="A2">
        <v>1</v>
      </c>
      <c r="B2">
        <v>500</v>
      </c>
      <c r="C2">
        <v>150</v>
      </c>
      <c r="D2">
        <f t="shared" ref="D2:D20" si="0">(C2*1000)/B2</f>
        <v>300</v>
      </c>
      <c r="E2" s="1">
        <f t="shared" ref="E2:E16" si="1">AVERAGE(G2:I2)</f>
        <v>4.7546666666666662</v>
      </c>
      <c r="F2" s="9">
        <f>STDEV(G2:I2)</f>
        <v>4.5092497528230538E-3</v>
      </c>
      <c r="G2" s="7">
        <v>4.7590000000000003</v>
      </c>
      <c r="H2" s="8">
        <v>4.7549999999999999</v>
      </c>
      <c r="I2" s="8">
        <v>4.75</v>
      </c>
      <c r="J2" s="8"/>
      <c r="K2" s="8"/>
      <c r="L2" s="8"/>
    </row>
    <row r="3" spans="1:15" x14ac:dyDescent="0.4">
      <c r="A3">
        <v>2</v>
      </c>
      <c r="B3">
        <v>1000</v>
      </c>
      <c r="C3">
        <v>150</v>
      </c>
      <c r="D3">
        <f t="shared" si="0"/>
        <v>150</v>
      </c>
      <c r="E3" s="1">
        <f>AVERAGE(G3:L3)</f>
        <v>4.8031666666666668</v>
      </c>
      <c r="F3" s="9">
        <f>STDEV(G3:L3)</f>
        <v>4.8751068364363817E-3</v>
      </c>
      <c r="G3" s="7">
        <v>4.8019999999999996</v>
      </c>
      <c r="H3" s="8">
        <v>4.8120000000000003</v>
      </c>
      <c r="I3" s="8">
        <v>4.8029999999999999</v>
      </c>
      <c r="J3" s="8">
        <v>4.7969999999999997</v>
      </c>
      <c r="K3" s="8">
        <v>4.8019999999999996</v>
      </c>
      <c r="L3" s="8">
        <v>4.8029999999999999</v>
      </c>
    </row>
    <row r="4" spans="1:15" x14ac:dyDescent="0.4">
      <c r="A4">
        <v>3</v>
      </c>
      <c r="B4">
        <v>1500</v>
      </c>
      <c r="C4">
        <v>150</v>
      </c>
      <c r="D4">
        <f t="shared" si="0"/>
        <v>100</v>
      </c>
      <c r="E4" s="1">
        <f t="shared" si="1"/>
        <v>4.8406666666666665</v>
      </c>
      <c r="F4" s="9">
        <f t="shared" ref="F4:F16" si="2">STDEV(G4:I4)</f>
        <v>1.0214368964029757E-2</v>
      </c>
      <c r="G4" s="7">
        <v>4.8289999999999997</v>
      </c>
      <c r="H4" s="8">
        <v>4.8449999999999998</v>
      </c>
      <c r="I4" s="8">
        <v>4.8479999999999999</v>
      </c>
      <c r="J4" s="8"/>
      <c r="K4" s="8"/>
      <c r="L4" s="8"/>
    </row>
    <row r="5" spans="1:15" x14ac:dyDescent="0.4">
      <c r="A5">
        <v>4</v>
      </c>
      <c r="B5">
        <v>2000</v>
      </c>
      <c r="C5">
        <v>150</v>
      </c>
      <c r="D5">
        <f t="shared" si="0"/>
        <v>75</v>
      </c>
      <c r="E5" s="1">
        <f t="shared" si="1"/>
        <v>4.839666666666667</v>
      </c>
      <c r="F5" s="9">
        <f t="shared" si="2"/>
        <v>4.0414518843273749E-3</v>
      </c>
      <c r="G5" s="7">
        <v>4.8360000000000003</v>
      </c>
      <c r="H5" s="8">
        <v>4.8390000000000004</v>
      </c>
      <c r="I5" s="8">
        <v>4.8440000000000003</v>
      </c>
      <c r="J5" s="8"/>
      <c r="K5" s="8"/>
      <c r="L5" s="8"/>
    </row>
    <row r="6" spans="1:15" x14ac:dyDescent="0.4">
      <c r="A6">
        <v>5</v>
      </c>
      <c r="B6">
        <v>2500</v>
      </c>
      <c r="C6">
        <v>150</v>
      </c>
      <c r="D6">
        <f t="shared" si="0"/>
        <v>60</v>
      </c>
      <c r="E6" s="1">
        <f t="shared" si="1"/>
        <v>4.7583333333333337</v>
      </c>
      <c r="F6" s="9">
        <f t="shared" si="2"/>
        <v>2.0816659994659747E-3</v>
      </c>
      <c r="G6" s="7">
        <v>4.76</v>
      </c>
      <c r="H6" s="8">
        <v>4.7560000000000002</v>
      </c>
      <c r="I6" s="8">
        <v>4.7590000000000003</v>
      </c>
      <c r="J6" s="8"/>
      <c r="K6" s="8"/>
      <c r="L6" s="8"/>
    </row>
    <row r="7" spans="1:15" x14ac:dyDescent="0.4">
      <c r="A7">
        <v>6</v>
      </c>
      <c r="B7">
        <v>500</v>
      </c>
      <c r="C7">
        <v>175</v>
      </c>
      <c r="D7">
        <f t="shared" si="0"/>
        <v>350</v>
      </c>
      <c r="E7" s="1">
        <f t="shared" si="1"/>
        <v>4.7633333333333336</v>
      </c>
      <c r="F7" s="9">
        <f t="shared" si="2"/>
        <v>5.7735026918981857E-4</v>
      </c>
      <c r="G7" s="7">
        <v>4.7640000000000002</v>
      </c>
      <c r="H7" s="8">
        <v>4.7629999999999999</v>
      </c>
      <c r="I7" s="8">
        <v>4.7629999999999999</v>
      </c>
      <c r="J7" s="8"/>
      <c r="K7" s="8"/>
      <c r="L7" s="8"/>
    </row>
    <row r="8" spans="1:15" x14ac:dyDescent="0.4">
      <c r="A8">
        <v>7</v>
      </c>
      <c r="B8">
        <v>1000</v>
      </c>
      <c r="C8">
        <v>175</v>
      </c>
      <c r="D8">
        <f t="shared" si="0"/>
        <v>175</v>
      </c>
      <c r="E8" s="1">
        <f t="shared" si="1"/>
        <v>4.8206666666666669</v>
      </c>
      <c r="F8" s="9">
        <f t="shared" si="2"/>
        <v>2.0816659994663303E-3</v>
      </c>
      <c r="G8" s="7">
        <v>4.82</v>
      </c>
      <c r="H8" s="8">
        <v>4.819</v>
      </c>
      <c r="I8" s="8">
        <v>4.8230000000000004</v>
      </c>
      <c r="J8" s="8"/>
      <c r="K8" s="8"/>
      <c r="L8" s="8"/>
    </row>
    <row r="9" spans="1:15" x14ac:dyDescent="0.4">
      <c r="A9">
        <v>8</v>
      </c>
      <c r="B9">
        <v>1500</v>
      </c>
      <c r="C9">
        <v>175</v>
      </c>
      <c r="D9">
        <f t="shared" si="0"/>
        <v>116.66666666666667</v>
      </c>
      <c r="E9" s="1">
        <f t="shared" si="1"/>
        <v>4.8490000000000002</v>
      </c>
      <c r="F9" s="9">
        <f t="shared" si="2"/>
        <v>4.3588989435406006E-3</v>
      </c>
      <c r="G9" s="7">
        <v>4.8460000000000001</v>
      </c>
      <c r="H9" s="8">
        <v>4.8470000000000004</v>
      </c>
      <c r="I9" s="8">
        <v>4.8540000000000001</v>
      </c>
      <c r="J9" s="8"/>
      <c r="K9" s="8"/>
      <c r="L9" s="8"/>
    </row>
    <row r="10" spans="1:15" x14ac:dyDescent="0.4">
      <c r="A10">
        <v>9</v>
      </c>
      <c r="B10">
        <v>2000</v>
      </c>
      <c r="C10">
        <v>175</v>
      </c>
      <c r="D10">
        <f t="shared" si="0"/>
        <v>87.5</v>
      </c>
      <c r="E10" s="1">
        <f t="shared" si="1"/>
        <v>4.8560000000000008</v>
      </c>
      <c r="F10" s="9">
        <f t="shared" si="2"/>
        <v>2.645751311064635E-3</v>
      </c>
      <c r="G10" s="7">
        <v>4.8529999999999998</v>
      </c>
      <c r="H10" s="8">
        <v>4.8570000000000002</v>
      </c>
      <c r="I10" s="8">
        <v>4.8579999999999997</v>
      </c>
      <c r="J10" s="8"/>
      <c r="K10" s="8"/>
      <c r="L10" s="8"/>
    </row>
    <row r="11" spans="1:15" x14ac:dyDescent="0.4">
      <c r="A11">
        <v>10</v>
      </c>
      <c r="B11">
        <v>2500</v>
      </c>
      <c r="C11">
        <v>175</v>
      </c>
      <c r="D11">
        <f t="shared" si="0"/>
        <v>70</v>
      </c>
      <c r="E11" s="1">
        <f t="shared" si="1"/>
        <v>4.8129999999999997</v>
      </c>
      <c r="F11" s="9">
        <f t="shared" si="2"/>
        <v>3.6055512754638386E-3</v>
      </c>
      <c r="G11" s="7">
        <v>4.8090000000000002</v>
      </c>
      <c r="H11" s="8">
        <v>4.8140000000000001</v>
      </c>
      <c r="I11" s="8">
        <v>4.8159999999999998</v>
      </c>
      <c r="J11" s="8"/>
      <c r="K11" s="8"/>
      <c r="L11" s="8"/>
    </row>
    <row r="12" spans="1:15" x14ac:dyDescent="0.4">
      <c r="A12">
        <v>11</v>
      </c>
      <c r="B12">
        <v>500</v>
      </c>
      <c r="C12">
        <v>200</v>
      </c>
      <c r="D12">
        <f t="shared" si="0"/>
        <v>400</v>
      </c>
      <c r="E12" s="1">
        <f t="shared" si="1"/>
        <v>4.7643333333333331</v>
      </c>
      <c r="F12" s="9">
        <f t="shared" si="2"/>
        <v>1.1547005383791243E-3</v>
      </c>
      <c r="G12" s="7">
        <v>4.7629999999999999</v>
      </c>
      <c r="H12" s="8">
        <v>4.7649999999999997</v>
      </c>
      <c r="I12" s="8">
        <v>4.7649999999999997</v>
      </c>
      <c r="J12" s="8"/>
      <c r="K12" s="8"/>
      <c r="L12" s="8"/>
      <c r="O12" s="3"/>
    </row>
    <row r="13" spans="1:15" x14ac:dyDescent="0.4">
      <c r="A13">
        <v>12</v>
      </c>
      <c r="B13">
        <v>1000</v>
      </c>
      <c r="C13">
        <v>200</v>
      </c>
      <c r="D13">
        <f t="shared" si="0"/>
        <v>200</v>
      </c>
      <c r="E13" s="1">
        <f t="shared" si="1"/>
        <v>4.8056666666666663</v>
      </c>
      <c r="F13" s="9">
        <f t="shared" si="2"/>
        <v>2.5166114784235414E-3</v>
      </c>
      <c r="G13" s="7">
        <v>4.8029999999999999</v>
      </c>
      <c r="H13" s="8">
        <v>4.806</v>
      </c>
      <c r="I13" s="8">
        <v>4.8079999999999998</v>
      </c>
      <c r="J13" s="8"/>
      <c r="K13" s="8"/>
      <c r="L13" s="8"/>
      <c r="O13" s="3"/>
    </row>
    <row r="14" spans="1:15" x14ac:dyDescent="0.4">
      <c r="A14">
        <v>13</v>
      </c>
      <c r="B14">
        <v>1500</v>
      </c>
      <c r="C14">
        <v>200</v>
      </c>
      <c r="D14">
        <f t="shared" si="0"/>
        <v>133.33333333333334</v>
      </c>
      <c r="E14" s="1">
        <f t="shared" si="1"/>
        <v>4.8413333333333339</v>
      </c>
      <c r="F14" s="9">
        <f t="shared" si="2"/>
        <v>3.0550504633039444E-3</v>
      </c>
      <c r="G14" s="7">
        <v>4.8380000000000001</v>
      </c>
      <c r="H14" s="8">
        <v>4.8419999999999996</v>
      </c>
      <c r="I14" s="8">
        <v>4.8440000000000003</v>
      </c>
      <c r="J14" s="8"/>
      <c r="K14" s="8"/>
      <c r="L14" s="8"/>
      <c r="O14" s="3"/>
    </row>
    <row r="15" spans="1:15" x14ac:dyDescent="0.4">
      <c r="A15">
        <v>14</v>
      </c>
      <c r="B15">
        <v>2000</v>
      </c>
      <c r="C15">
        <v>200</v>
      </c>
      <c r="D15">
        <f t="shared" si="0"/>
        <v>100</v>
      </c>
      <c r="E15" s="1">
        <f t="shared" si="1"/>
        <v>4.8526666666666669</v>
      </c>
      <c r="F15" s="9">
        <f t="shared" si="2"/>
        <v>3.214550253664379E-3</v>
      </c>
      <c r="G15" s="7">
        <v>4.8490000000000002</v>
      </c>
      <c r="H15" s="8">
        <v>4.8550000000000004</v>
      </c>
      <c r="I15" s="8">
        <v>4.8540000000000001</v>
      </c>
      <c r="J15" s="8"/>
      <c r="K15" s="8"/>
      <c r="L15" s="8"/>
      <c r="O15" s="3"/>
    </row>
    <row r="16" spans="1:15" x14ac:dyDescent="0.4">
      <c r="A16">
        <v>15</v>
      </c>
      <c r="B16">
        <v>2500</v>
      </c>
      <c r="C16">
        <v>200</v>
      </c>
      <c r="D16">
        <f t="shared" si="0"/>
        <v>80</v>
      </c>
      <c r="E16" s="1">
        <f t="shared" si="1"/>
        <v>4.8310000000000004</v>
      </c>
      <c r="F16" s="9">
        <f t="shared" si="2"/>
        <v>3.6055512754638386E-3</v>
      </c>
      <c r="G16" s="7">
        <v>4.8280000000000003</v>
      </c>
      <c r="H16" s="8">
        <v>4.83</v>
      </c>
      <c r="I16" s="8">
        <v>4.835</v>
      </c>
      <c r="J16" s="8"/>
      <c r="K16" s="8"/>
      <c r="L16" s="8"/>
      <c r="O16" s="3"/>
    </row>
    <row r="17" spans="1:15" x14ac:dyDescent="0.4">
      <c r="A17">
        <v>17</v>
      </c>
      <c r="B17">
        <v>1000</v>
      </c>
      <c r="C17">
        <v>150</v>
      </c>
      <c r="D17">
        <f t="shared" si="0"/>
        <v>150</v>
      </c>
      <c r="E17" s="1">
        <f>AVERAGE(G17:L17)</f>
        <v>4.8410000000000002</v>
      </c>
      <c r="F17" s="9">
        <f>STDEV(G17:L17)</f>
        <v>3.7947331922022925E-3</v>
      </c>
      <c r="G17" s="7">
        <v>4.84</v>
      </c>
      <c r="H17" s="8">
        <v>4.8440000000000003</v>
      </c>
      <c r="I17" s="8">
        <v>4.8470000000000004</v>
      </c>
      <c r="J17" s="8">
        <v>4.8369999999999997</v>
      </c>
      <c r="K17" s="8">
        <v>4.8380000000000001</v>
      </c>
      <c r="L17" s="8">
        <v>4.84</v>
      </c>
      <c r="O17" s="3"/>
    </row>
    <row r="18" spans="1:15" x14ac:dyDescent="0.4">
      <c r="A18">
        <v>18</v>
      </c>
      <c r="B18">
        <v>1000</v>
      </c>
      <c r="C18">
        <v>150</v>
      </c>
      <c r="D18">
        <f t="shared" si="0"/>
        <v>150</v>
      </c>
      <c r="E18" s="1">
        <f>AVERAGE(G18:L18)</f>
        <v>4.8525</v>
      </c>
      <c r="F18" s="9">
        <f>STDEV(G18:L18)</f>
        <v>5.7532599454569403E-3</v>
      </c>
      <c r="G18" s="7">
        <v>4.8559999999999999</v>
      </c>
      <c r="H18" s="8">
        <v>4.8570000000000002</v>
      </c>
      <c r="I18" s="8">
        <v>4.859</v>
      </c>
      <c r="J18" s="8">
        <v>4.8440000000000003</v>
      </c>
      <c r="K18" s="8">
        <v>4.8490000000000002</v>
      </c>
      <c r="L18" s="8">
        <v>4.8499999999999996</v>
      </c>
    </row>
    <row r="19" spans="1:15" x14ac:dyDescent="0.4">
      <c r="A19">
        <v>19</v>
      </c>
      <c r="B19">
        <v>1000</v>
      </c>
      <c r="C19">
        <v>150</v>
      </c>
      <c r="D19">
        <f t="shared" si="0"/>
        <v>150</v>
      </c>
      <c r="E19" s="1">
        <f>AVERAGE(G19:L19)</f>
        <v>4.8414999999999999</v>
      </c>
      <c r="F19" s="9">
        <f>STDEV(G19:L19)</f>
        <v>4.8887626246319248E-3</v>
      </c>
      <c r="G19" s="7">
        <v>4.843</v>
      </c>
      <c r="H19" s="8">
        <v>4.84</v>
      </c>
      <c r="I19" s="8">
        <v>4.8499999999999996</v>
      </c>
      <c r="J19" s="8">
        <v>4.8380000000000001</v>
      </c>
      <c r="K19" s="8">
        <v>4.8419999999999996</v>
      </c>
      <c r="L19" s="8">
        <v>4.8360000000000003</v>
      </c>
    </row>
    <row r="20" spans="1:15" x14ac:dyDescent="0.4">
      <c r="A20">
        <v>20</v>
      </c>
      <c r="B20">
        <v>1000</v>
      </c>
      <c r="C20">
        <v>150</v>
      </c>
      <c r="D20">
        <f t="shared" si="0"/>
        <v>150</v>
      </c>
      <c r="E20" s="1">
        <f>AVERAGE(G20:L20)</f>
        <v>4.8458333333333332</v>
      </c>
      <c r="F20" s="9">
        <f>STDEV(G20:L20)</f>
        <v>5.6361925682742713E-3</v>
      </c>
      <c r="G20" s="7">
        <v>4.8490000000000002</v>
      </c>
      <c r="H20" s="8">
        <v>4.84</v>
      </c>
      <c r="I20" s="8">
        <v>4.8550000000000004</v>
      </c>
      <c r="J20" s="8">
        <v>4.8419999999999996</v>
      </c>
      <c r="K20" s="8">
        <v>4.8419999999999996</v>
      </c>
      <c r="L20" s="8">
        <v>4.8470000000000004</v>
      </c>
    </row>
  </sheetData>
  <sortState xmlns:xlrd2="http://schemas.microsoft.com/office/spreadsheetml/2017/richdata2" ref="A2:I17">
    <sortCondition ref="A2:A17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AB196-AFFD-45B2-96CD-D7256BF99963}">
  <dimension ref="A1:D11"/>
  <sheetViews>
    <sheetView workbookViewId="0">
      <selection activeCell="C2" sqref="C2"/>
    </sheetView>
  </sheetViews>
  <sheetFormatPr defaultRowHeight="16" x14ac:dyDescent="0.4"/>
  <sheetData>
    <row r="1" spans="1:4" x14ac:dyDescent="0.4">
      <c r="B1" t="s">
        <v>13</v>
      </c>
      <c r="C1" t="s">
        <v>14</v>
      </c>
      <c r="D1" t="s">
        <v>15</v>
      </c>
    </row>
    <row r="2" spans="1:4" x14ac:dyDescent="0.4">
      <c r="A2">
        <v>1</v>
      </c>
      <c r="B2">
        <v>4.5990000000000002</v>
      </c>
    </row>
    <row r="3" spans="1:4" x14ac:dyDescent="0.4">
      <c r="A3">
        <v>2</v>
      </c>
      <c r="B3">
        <v>4.6079999999999997</v>
      </c>
    </row>
    <row r="4" spans="1:4" x14ac:dyDescent="0.4">
      <c r="A4">
        <v>3</v>
      </c>
      <c r="B4">
        <v>4.6050000000000004</v>
      </c>
    </row>
    <row r="5" spans="1:4" x14ac:dyDescent="0.4">
      <c r="A5">
        <v>4</v>
      </c>
      <c r="B5">
        <v>4.6050000000000004</v>
      </c>
    </row>
    <row r="6" spans="1:4" x14ac:dyDescent="0.4">
      <c r="A6">
        <v>5</v>
      </c>
      <c r="B6">
        <v>4.601</v>
      </c>
    </row>
    <row r="7" spans="1:4" x14ac:dyDescent="0.4">
      <c r="A7">
        <v>6</v>
      </c>
      <c r="B7">
        <v>4.6029999999999998</v>
      </c>
    </row>
    <row r="8" spans="1:4" x14ac:dyDescent="0.4">
      <c r="A8">
        <v>7</v>
      </c>
      <c r="B8">
        <v>4.5999999999999996</v>
      </c>
    </row>
    <row r="9" spans="1:4" x14ac:dyDescent="0.4">
      <c r="A9">
        <v>8</v>
      </c>
      <c r="B9">
        <v>4.5990000000000002</v>
      </c>
    </row>
    <row r="10" spans="1:4" x14ac:dyDescent="0.4">
      <c r="A10">
        <v>9</v>
      </c>
      <c r="B10">
        <v>4.5990000000000002</v>
      </c>
    </row>
    <row r="11" spans="1:4" x14ac:dyDescent="0.4">
      <c r="A11">
        <v>10</v>
      </c>
      <c r="B11">
        <v>4.5990000000000002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Ti-6Ag</vt:lpstr>
      <vt:lpstr>Ti-15Ag</vt:lpstr>
      <vt:lpstr>Ti-25Ag</vt:lpstr>
      <vt:lpstr>Ti-Sterling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Page (PhD Dept of Chemical Eng FT)</dc:creator>
  <cp:lastModifiedBy>Oliver Page (PhD Dept of Chemical Eng FT)</cp:lastModifiedBy>
  <dcterms:created xsi:type="dcterms:W3CDTF">2025-07-03T14:48:31Z</dcterms:created>
  <dcterms:modified xsi:type="dcterms:W3CDTF">2026-04-30T22:25:00Z</dcterms:modified>
</cp:coreProperties>
</file>